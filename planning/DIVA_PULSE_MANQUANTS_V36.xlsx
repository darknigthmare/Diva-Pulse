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6c56fbe6224c66" /></Relationships>
</file>

<file path=xl/workbook.xml><?xml version="1.0" encoding="utf-8"?>
<x:workbook xmlns:x="http://schemas.openxmlformats.org/spreadsheetml/2006/main">
  <x:sheets>
    <x:sheet xmlns:r="http://schemas.openxmlformats.org/officeDocument/2006/relationships" name="Synthèse" sheetId="1" r:id="Rf3a988cf533c4f3d"/>
    <x:sheet xmlns:r="http://schemas.openxmlformats.org/officeDocument/2006/relationships" name="Manquants" sheetId="2" r:id="Rf6f5b98a662d4c2c"/>
    <x:sheet xmlns:r="http://schemas.openxmlformats.org/officeDocument/2006/relationships" name="Livré V30" sheetId="3" r:id="Rb9f75f4388ed43f1"/>
    <x:sheet xmlns:r="http://schemas.openxmlformats.org/officeDocument/2006/relationships" name="Tests V30" sheetId="4" r:id="R0a34726efa13436f"/>
    <x:sheet xmlns:r="http://schemas.openxmlformats.org/officeDocument/2006/relationships" name="Compatibilité MMD" sheetId="5" r:id="R46329a4b7afa4676"/>
    <x:sheet xmlns:r="http://schemas.openxmlformats.org/officeDocument/2006/relationships" name="Historique V28" sheetId="6" r:id="R960e221143464dc8"/>
    <x:sheet xmlns:r="http://schemas.openxmlformats.org/officeDocument/2006/relationships" name="Historique V29" sheetId="7" r:id="R7fa74edde04a47a8"/>
    <x:sheet xmlns:r="http://schemas.openxmlformats.org/officeDocument/2006/relationships" name="Sources" sheetId="8" r:id="R8bc7ab022c294071"/>
    <x:sheet xmlns:r="http://schemas.openxmlformats.org/officeDocument/2006/relationships" name="Mode emploi" sheetId="9" r:id="Rfce049daf2574d98"/>
    <x:sheet xmlns:r="http://schemas.openxmlformats.org/officeDocument/2006/relationships" name="Livré V31" sheetId="10" r:id="Rf42d87a7cb0c4207"/>
    <x:sheet xmlns:r="http://schemas.openxmlformats.org/officeDocument/2006/relationships" name="Tests V31" sheetId="11" r:id="Rb54c539d3d7a4646"/>
    <x:sheet xmlns:r="http://schemas.openxmlformats.org/officeDocument/2006/relationships" name="Livré V32" sheetId="12" r:id="R295d69d52b5043c0"/>
    <x:sheet xmlns:r="http://schemas.openxmlformats.org/officeDocument/2006/relationships" name="Tests V32" sheetId="13" r:id="R20829ce808924610"/>
    <x:sheet xmlns:r="http://schemas.openxmlformats.org/officeDocument/2006/relationships" name="Livré V33" sheetId="14" r:id="R0d33695c96cc4b49"/>
    <x:sheet xmlns:r="http://schemas.openxmlformats.org/officeDocument/2006/relationships" name="Tests V33" sheetId="15" r:id="Rafc85fbea4be4279"/>
    <x:sheet xmlns:r="http://schemas.openxmlformats.org/officeDocument/2006/relationships" name="Livré V34" sheetId="16" r:id="R2e919a7c63604cab"/>
    <x:sheet xmlns:r="http://schemas.openxmlformats.org/officeDocument/2006/relationships" name="Tests V34" sheetId="17" r:id="R78d2836571f846f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1">
    <x:font>
      <x:sz val="11"/>
      <x:name val="Carlito"/>
    </x:font>
    <x:font>
      <x:sz val="11"/>
      <x:name val="Calibri"/>
    </x:font>
    <x:font>
      <x:sz val="11"/>
      <x:color rgb="FF203047"/>
      <x:name val="Calibri"/>
    </x:font>
    <x:font>
      <x:b/>
      <x:sz val="23"/>
      <x:color rgb="FFFFFFFF"/>
      <x:name val="Calibri"/>
    </x:font>
    <x:font>
      <x:sz val="10"/>
      <x:color rgb="FF203047"/>
      <x:name val="Calibri"/>
    </x:font>
    <x:font>
      <x:b/>
      <x:sz val="11"/>
      <x:color rgb="FFFFFFFF"/>
      <x:name val="Calibri"/>
    </x:font>
    <x:font>
      <x:b/>
      <x:sz val="28"/>
      <x:color rgb="FF127D94"/>
      <x:name val="Calibri"/>
    </x:font>
    <x:font>
      <x:sz val="11"/>
      <x:color rgb="FF127D94"/>
      <x:name val="Calibri"/>
    </x:font>
    <x:font>
      <x:b/>
      <x:sz val="11"/>
      <x:color rgb="FF713F12"/>
      <x:name val="Calibri"/>
    </x:font>
    <x:font>
      <x:sz val="10"/>
      <x:color rgb="FF19263B"/>
      <x:name val="Aptos"/>
    </x:font>
    <x:font>
      <x:b/>
      <x:sz val="20"/>
      <x:color rgb="FFFFFFFF"/>
      <x:name val="Aptos"/>
    </x:font>
    <x:font>
      <x:sz val="10"/>
      <x:color rgb="FF19263B"/>
      <x:name val="Carlito"/>
    </x:font>
    <x:font>
      <x:b/>
      <x:sz val="11"/>
      <x:color rgb="FFFFFFFF"/>
      <x:name val="Carlito"/>
    </x:font>
    <x:font>
      <x:sz val="10"/>
      <x:color rgb="FF203047"/>
      <x:name val="Aptos"/>
    </x:font>
    <x:font>
      <x:b/>
      <x:sz val="20"/>
      <x:color rgb="FFFFFFFF"/>
      <x:name val="Calibri"/>
    </x:font>
    <x:font>
      <x:sz val="11"/>
      <x:color rgb="FF243A4A"/>
      <x:name val="Calibri"/>
    </x:font>
    <x:font>
      <x:sz val="11"/>
      <x:color rgb="FF19263B"/>
      <x:name val="Aptos"/>
    </x:font>
    <x:font>
      <x:b/>
      <x:sz val="11"/>
      <x:color rgb="FF243A4A"/>
      <x:name val="Aptos"/>
    </x:font>
    <x:font>
      <x:sz val="11"/>
      <x:color rgb="FF243A4A"/>
      <x:name val="Aptos"/>
    </x:font>
    <x:font>
      <x:b/>
      <x:sz val="24"/>
      <x:color rgb="FFFFFFFF"/>
      <x:name val="Aptos"/>
    </x:font>
    <x:font>
      <x:b/>
      <x:sz val="11"/>
      <x:color rgb="FF754D10"/>
      <x:name val="Aptos"/>
    </x:font>
    <x:font>
      <x:b/>
      <x:sz val="10"/>
      <x:color rgb="FF087F8C"/>
      <x:name val="Aptos"/>
    </x:font>
    <x:font>
      <x:b/>
      <x:sz val="32"/>
      <x:color rgb="FF112331"/>
      <x:name val="Aptos"/>
    </x:font>
    <x:font>
      <x:sz val="11"/>
      <x:color rgb="FF566B77"/>
      <x:name val="Aptos"/>
    </x:font>
    <x:font>
      <x:b/>
      <x:sz val="10"/>
      <x:color rgb="FFFFFFFF"/>
      <x:name val="Aptos"/>
    </x:font>
    <x:font>
      <x:sz val="10"/>
      <x:color rgb="FF243A4A"/>
      <x:name val="Aptos"/>
    </x:font>
    <x:font>
      <x:b/>
      <x:sz val="11"/>
      <x:color rgb="FFFFFFFF"/>
      <x:name val="Aptos"/>
    </x:font>
    <x:font>
      <x:b/>
      <x:sz val="19"/>
      <x:color rgb="FFFFFFFF"/>
      <x:name val="Carlito"/>
    </x:font>
    <x:font>
      <x:sz val="11"/>
      <x:color rgb="FF243A4A"/>
      <x:name val="Carlito"/>
    </x:font>
    <x:font>
      <x:b/>
      <x:sz val="18"/>
      <x:color rgb="FFFFFFFF"/>
      <x:name val="Calibri"/>
    </x:font>
    <x:font>
      <x:b/>
      <x:sz val="18"/>
      <x:color rgb="FFFFFFFF"/>
      <x:name val="Aptos"/>
    </x:font>
    <x:font>
      <x:b/>
      <x:sz val="11"/>
      <x:color rgb="FF17644E"/>
      <x:name val="Aptos"/>
    </x:font>
    <x:font>
      <x:b/>
      <x:sz val="11"/>
      <x:color rgb="FF17303D"/>
      <x:name val="Aptos"/>
    </x:font>
    <x:font>
      <x:sz val="11"/>
      <x:color rgb="FF17303D"/>
      <x:name val="Aptos"/>
    </x:font>
    <x:font>
      <x:b/>
      <x:sz val="25"/>
      <x:color rgb="FFFFFFFF"/>
      <x:name val="Aptos"/>
    </x:font>
    <x:font>
      <x:b/>
      <x:sz val="11"/>
      <x:color rgb="FF006D71"/>
      <x:name val="Aptos"/>
    </x:font>
    <x:font>
      <x:b/>
      <x:sz val="10"/>
      <x:color rgb="FF007E86"/>
      <x:name val="Aptos"/>
    </x:font>
    <x:font>
      <x:b/>
      <x:sz val="32"/>
      <x:color rgb="FF142938"/>
      <x:name val="Aptos"/>
    </x:font>
    <x:font>
      <x:b/>
      <x:sz val="22"/>
      <x:color rgb="FFFFFFFF"/>
      <x:name val="Carlito"/>
    </x:font>
    <x:font>
      <x:sz val="10"/>
      <x:color rgb="FF17303D"/>
      <x:name val="Aptos"/>
    </x:font>
    <x:font>
      <x:sz val="10"/>
      <x:color rgb="FF17303D"/>
      <x:name val="Calibri"/>
    </x:font>
  </x:fonts>
  <x:fills count="30">
    <x:fill>
      <x:patternFill patternType="none"/>
    </x:fill>
    <x:fill>
      <x:patternFill patternType="gray125"/>
    </x:fill>
    <x:fill>
      <x:patternFill patternType="solid">
        <x:fgColor rgb="FFFFFFFF"/>
      </x:patternFill>
    </x:fill>
    <x:fill>
      <x:patternFill patternType="solid">
        <x:fgColor rgb="FF17243D"/>
      </x:patternFill>
    </x:fill>
    <x:fill>
      <x:patternFill patternType="solid">
        <x:fgColor rgb="FF127D94"/>
      </x:patternFill>
    </x:fill>
    <x:fill>
      <x:patternFill patternType="solid">
        <x:fgColor rgb="FFEDF4F8"/>
      </x:patternFill>
    </x:fill>
    <x:fill>
      <x:patternFill patternType="solid">
        <x:fgColor rgb="FFDDF1E4"/>
      </x:patternFill>
    </x:fill>
    <x:fill>
      <x:patternFill patternType="solid">
        <x:fgColor rgb="FFEAE3F5"/>
      </x:patternFill>
    </x:fill>
    <x:fill>
      <x:patternFill patternType="solid">
        <x:fgColor rgb="FFFFF0CF"/>
      </x:patternFill>
    </x:fill>
    <x:fill>
      <x:patternFill patternType="solid">
        <x:fgColor rgb="FFFBE0E5"/>
      </x:patternFill>
    </x:fill>
    <x:fill>
      <x:patternFill patternType="solid">
        <x:fgColor rgb="FFFFF0CC"/>
      </x:patternFill>
    </x:fill>
    <x:fill>
      <x:patternFill patternType="solid">
        <x:fgColor rgb="FF19263B"/>
      </x:patternFill>
    </x:fill>
    <x:fill>
      <x:patternFill patternType="solid">
        <x:fgColor rgb="FFEDF5F8"/>
      </x:patternFill>
    </x:fill>
    <x:fill>
      <x:patternFill patternType="solid">
        <x:fgColor rgb="FF0D7F91"/>
      </x:patternFill>
    </x:fill>
    <x:fill>
      <x:patternFill patternType="solid">
        <x:fgColor rgb="FF112331"/>
      </x:patternFill>
    </x:fill>
    <x:fill>
      <x:patternFill patternType="solid">
        <x:fgColor rgb="FFEAF3F5"/>
      </x:patternFill>
    </x:fill>
    <x:fill>
      <x:patternFill patternType="solid">
        <x:fgColor rgb="FF087F8C"/>
      </x:patternFill>
    </x:fill>
    <x:fill>
      <x:patternFill patternType="solid">
        <x:fgColor rgb="FFFFFFFF"/>
      </x:patternFill>
    </x:fill>
    <x:fill>
      <x:patternFill patternType="solid">
        <x:fgColor rgb="FFFFF0CF"/>
      </x:patternFill>
    </x:fill>
    <x:fill>
      <x:patternFill patternType="solid">
        <x:fgColor rgb="FFDDF2EB"/>
      </x:patternFill>
    </x:fill>
    <x:fill>
      <x:patternFill patternType="solid">
        <x:fgColor rgb="FFFFFFFF"/>
      </x:patternFill>
    </x:fill>
    <x:fill>
      <x:patternFill patternType="solid">
        <x:fgColor rgb="FF142938"/>
      </x:patternFill>
    </x:fill>
    <x:fill>
      <x:patternFill patternType="solid">
        <x:fgColor rgb="FFDBF2EF"/>
      </x:patternFill>
    </x:fill>
    <x:fill>
      <x:patternFill patternType="solid">
        <x:fgColor rgb="FFEAF3F5"/>
      </x:patternFill>
    </x:fill>
    <x:fill>
      <x:patternFill patternType="solid">
        <x:fgColor rgb="FFF3F6F8"/>
      </x:patternFill>
    </x:fill>
    <x:fill>
      <x:patternFill patternType="solid">
        <x:fgColor rgb="FF007D86"/>
      </x:patternFill>
    </x:fill>
    <x:fill>
      <x:patternFill patternType="solid">
        <x:fgColor rgb="FFFFF3DD"/>
      </x:patternFill>
    </x:fill>
    <x:fill>
      <x:patternFill patternType="solid">
        <x:fgColor rgb="FFF2F8F8"/>
      </x:patternFill>
    </x:fill>
    <x:fill>
      <x:patternFill patternType="solid">
        <x:fgColor rgb="FF142938"/>
      </x:patternFill>
    </x:fill>
    <x:fill>
      <x:patternFill patternType="solid">
        <x:fgColor rgb="FF007E86"/>
      </x:patternFill>
    </x:fill>
  </x:fills>
  <x:borders count="2">
    <x:border/>
    <x:border/>
  </x:borders>
  <x:cellStyleXfs count="1">
    <x:xf numFmtId="0" fontId="0" fillId="0" borderId="0"/>
  </x:cellStyleXfs>
  <x:cellXfs count="26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2"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vertical="center"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1"/>
    </x:xf>
    <x:xf numFmtId="0" fontId="6" fillId="5" borderId="0" xfId="0" applyNumberFormat="1" applyFont="1" applyFill="1" applyBorder="1" applyAlignment="1">
      <x:alignment horizontal="center" vertical="center"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6" fillId="5" borderId="1" xfId="0" applyNumberFormat="1" applyFont="1" applyFill="1" applyBorder="1" applyAlignment="1">
      <x:alignment horizontal="center" vertical="center" wrapText="1"/>
    </x:xf>
    <x:xf numFmtId="0" fontId="2" fillId="7"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0" fillId="0" borderId="0" xfId="0" applyNumberFormat="1" applyFont="1" applyFill="1" applyBorder="1"/>
    <x:xf numFmtId="0" fontId="2"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0" fontId="13" fillId="2" borderId="0" xfId="0" applyNumberFormat="1" applyFont="1" applyFill="1" applyBorder="1" applyAlignment="1">
      <x:alignment vertical="top" wrapText="1"/>
    </x:xf>
    <x:xf numFmtId="0" fontId="3" fillId="14" borderId="0" xfId="0" applyNumberFormat="1" applyFont="1" applyFill="1" applyBorder="1" applyAlignment="1">
      <x:alignment vertical="center" wrapText="1"/>
    </x:xf>
    <x:xf numFmtId="0" fontId="14" fillId="14" borderId="0" xfId="0" applyNumberFormat="1" applyFont="1" applyFill="1" applyBorder="1" applyAlignment="1">
      <x:alignment vertical="center" wrapText="1"/>
    </x:xf>
    <x:xf numFmtId="0" fontId="4" fillId="15" borderId="0" xfId="0" applyNumberFormat="1" applyFont="1" applyFill="1" applyBorder="1" applyAlignment="1">
      <x:alignment vertical="top" wrapText="1"/>
    </x:xf>
    <x:xf numFmtId="0" fontId="2" fillId="15" borderId="0" xfId="0" applyNumberFormat="1" applyFont="1" applyFill="1" applyBorder="1" applyAlignment="1">
      <x:alignment vertical="top" wrapText="1"/>
    </x:xf>
    <x:xf numFmtId="0" fontId="15" fillId="15" borderId="0" xfId="0" applyNumberFormat="1" applyFont="1" applyFill="1" applyBorder="1" applyAlignment="1">
      <x:alignment vertical="top" wrapText="1"/>
    </x:xf>
    <x:xf numFmtId="0" fontId="5" fillId="16" borderId="0" xfId="0" applyNumberFormat="1" applyFont="1" applyFill="1" applyBorder="1" applyAlignment="1">
      <x:alignment vertical="center" wrapText="1"/>
    </x:xf>
    <x:xf numFmtId="0" fontId="16" fillId="2" borderId="0" xfId="0" applyNumberFormat="1" applyFont="1" applyFill="1" applyBorder="1" applyAlignment="1">
      <x:alignment vertical="top" wrapText="1"/>
    </x:xf>
    <x:xf numFmtId="0" fontId="3" fillId="17" borderId="0" xfId="0" applyNumberFormat="1" applyFont="1" applyFill="1" applyBorder="1" applyAlignment="1">
      <x:alignment vertical="center" wrapText="1"/>
    </x:xf>
    <x:xf numFmtId="0" fontId="0" fillId="17" borderId="0" xfId="0" applyNumberFormat="1" applyFont="1" applyFill="1" applyBorder="1"/>
    <x:xf numFmtId="0" fontId="4" fillId="17" borderId="0"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5" fillId="17" borderId="0" xfId="0" applyNumberFormat="1" applyFont="1" applyFill="1" applyBorder="1" applyAlignment="1">
      <x:alignment horizontal="center" vertical="top" wrapText="1"/>
    </x:xf>
    <x:xf numFmtId="0" fontId="6" fillId="17" borderId="0" xfId="0" applyNumberFormat="1" applyFont="1" applyFill="1" applyBorder="1" applyAlignment="1">
      <x:alignment horizontal="center" vertical="center" wrapText="1"/>
    </x:xf>
    <x:xf numFmtId="0" fontId="5" fillId="17" borderId="0" xfId="0" applyNumberFormat="1" applyFont="1" applyFill="1" applyBorder="1" applyAlignment="1">
      <x:alignment vertical="top" wrapText="1"/>
    </x:xf>
    <x:xf numFmtId="0" fontId="7" fillId="17" borderId="0" xfId="0" applyNumberFormat="1" applyFont="1" applyFill="1" applyBorder="1" applyAlignment="1">
      <x:alignment vertical="top" wrapText="1"/>
    </x:xf>
    <x:xf numFmtId="0" fontId="17" fillId="17" borderId="0" xfId="0" applyNumberFormat="1" applyFont="1" applyFill="1" applyBorder="1" applyAlignment="1">
      <x:alignment vertical="center" wrapText="1"/>
    </x:xf>
    <x:xf numFmtId="0" fontId="18" fillId="17" borderId="0" xfId="0" applyNumberFormat="1" applyFont="1" applyFill="1" applyBorder="1"/>
    <x:xf numFmtId="0" fontId="18" fillId="17" borderId="0" xfId="0" applyNumberFormat="1" applyFont="1" applyFill="1" applyBorder="1" applyAlignment="1">
      <x:alignment vertical="top" wrapText="1"/>
    </x:xf>
    <x:xf numFmtId="0" fontId="17" fillId="17" borderId="0" xfId="0" applyNumberFormat="1" applyFont="1" applyFill="1" applyBorder="1" applyAlignment="1">
      <x:alignment vertical="top" wrapText="1"/>
    </x:xf>
    <x:xf numFmtId="0" fontId="17" fillId="17" borderId="0" xfId="0" applyNumberFormat="1" applyFont="1" applyFill="1" applyBorder="1" applyAlignment="1">
      <x:alignment horizontal="center" vertical="top" wrapText="1"/>
    </x:xf>
    <x:xf numFmtId="0" fontId="17" fillId="17" borderId="0" xfId="0" applyNumberFormat="1" applyFont="1" applyFill="1" applyBorder="1" applyAlignment="1">
      <x:alignment horizontal="center" vertical="center" wrapText="1"/>
    </x:xf>
    <x:xf numFmtId="0" fontId="17" fillId="14" borderId="0" xfId="0" applyNumberFormat="1" applyFont="1" applyFill="1" applyBorder="1" applyAlignment="1">
      <x:alignment vertical="center" wrapText="1"/>
    </x:xf>
    <x:xf numFmtId="0" fontId="18" fillId="14" borderId="0" xfId="0" applyNumberFormat="1" applyFont="1" applyFill="1" applyBorder="1"/>
    <x:xf numFmtId="0" fontId="19" fillId="14" borderId="0" xfId="0" applyNumberFormat="1" applyFont="1" applyFill="1" applyBorder="1" applyAlignment="1">
      <x:alignment vertical="center" wrapText="1"/>
    </x:xf>
    <x:xf numFmtId="0" fontId="19" fillId="14" borderId="0" xfId="0" applyNumberFormat="1" applyFont="1" applyFill="1" applyBorder="1"/>
    <x:xf numFmtId="0" fontId="19" fillId="14" borderId="0" xfId="0" applyNumberFormat="1" applyFont="1" applyFill="1" applyBorder="1" applyAlignment="1">
      <x:alignment vertical="center"/>
    </x:xf>
    <x:xf numFmtId="0" fontId="18" fillId="15" borderId="0" xfId="0" applyNumberFormat="1" applyFont="1" applyFill="1" applyBorder="1" applyAlignment="1">
      <x:alignment vertical="top" wrapText="1"/>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8" borderId="0" xfId="0" applyNumberFormat="1" applyFont="1" applyFill="1" applyBorder="1" applyAlignment="1">
      <x:alignment vertical="top" wrapText="1"/>
    </x:xf>
    <x:xf numFmtId="0" fontId="18" fillId="18" borderId="0" xfId="0" applyNumberFormat="1" applyFont="1" applyFill="1" applyBorder="1"/>
    <x:xf numFmtId="0" fontId="17" fillId="18" borderId="0" xfId="0" applyNumberFormat="1" applyFont="1" applyFill="1" applyBorder="1" applyAlignment="1">
      <x:alignment horizontal="center" vertical="top" wrapText="1"/>
    </x:xf>
    <x:xf numFmtId="0" fontId="20" fillId="18" borderId="0" xfId="0" applyNumberFormat="1" applyFont="1" applyFill="1" applyBorder="1" applyAlignment="1">
      <x:alignment vertical="top" wrapText="1"/>
    </x:xf>
    <x:xf numFmtId="0" fontId="20" fillId="18" borderId="0" xfId="0" applyNumberFormat="1" applyFont="1" applyFill="1" applyBorder="1"/>
    <x:xf numFmtId="0" fontId="20" fillId="18" borderId="0" xfId="0" applyNumberFormat="1" applyFont="1" applyFill="1" applyBorder="1" applyAlignment="1">
      <x:alignment horizontal="center" vertical="top" wrapText="1"/>
    </x:xf>
    <x:xf numFmtId="0" fontId="20" fillId="18" borderId="0" xfId="0" applyNumberFormat="1" applyFont="1" applyFill="1" applyBorder="1" applyAlignment="1">
      <x:alignment wrapText="1"/>
    </x:xf>
    <x:xf numFmtId="0" fontId="20" fillId="18" borderId="0" xfId="0" applyNumberFormat="1" applyFont="1" applyFill="1" applyBorder="1" applyAlignment="1">
      <x:alignment vertical="center" wrapText="1"/>
    </x:xf>
    <x:xf numFmtId="0" fontId="20" fillId="18" borderId="0" xfId="0" applyNumberFormat="1" applyFont="1" applyFill="1" applyBorder="1" applyAlignment="1">
      <x:alignment horizontal="center" vertical="center" wrapText="1"/>
    </x:xf>
    <x:xf numFmtId="0" fontId="21" fillId="17" borderId="0" xfId="0" applyNumberFormat="1" applyFont="1" applyFill="1" applyBorder="1" applyAlignment="1">
      <x:alignment vertical="top" wrapText="1"/>
    </x:xf>
    <x:xf numFmtId="0" fontId="22" fillId="15" borderId="0" xfId="0" applyNumberFormat="1" applyFont="1" applyFill="1" applyBorder="1" applyAlignment="1">
      <x:alignment vertical="top" wrapText="1"/>
    </x:xf>
    <x:xf numFmtId="0" fontId="22" fillId="15" borderId="0" xfId="0" applyNumberFormat="1" applyFont="1" applyFill="1" applyBorder="1" applyAlignment="1">
      <x:alignment vertical="center" wrapText="1"/>
    </x:xf>
    <x:xf numFmtId="0" fontId="22" fillId="15" borderId="0" xfId="0" applyNumberFormat="1" applyFont="1" applyFill="1" applyBorder="1"/>
    <x:xf numFmtId="0" fontId="22" fillId="15" borderId="0" xfId="0" applyNumberFormat="1" applyFont="1" applyFill="1" applyBorder="1" applyAlignment="1">
      <x:alignment vertical="center"/>
    </x:xf>
    <x:xf numFmtId="0" fontId="23" fillId="17" borderId="0" xfId="0" applyNumberFormat="1" applyFont="1" applyFill="1" applyBorder="1" applyAlignment="1">
      <x:alignment vertical="top" wrapText="1"/>
    </x:xf>
    <x:xf numFmtId="0" fontId="23" fillId="17" borderId="0" xfId="0" applyNumberFormat="1" applyFont="1" applyFill="1" applyBorder="1"/>
    <x:xf numFmtId="0" fontId="23" fillId="17" borderId="0" xfId="0" applyNumberFormat="1" applyFont="1" applyFill="1" applyBorder="1" applyAlignment="1">
      <x:alignment wrapText="1"/>
    </x:xf>
    <x:xf numFmtId="0" fontId="18" fillId="16" borderId="0" xfId="0" applyNumberFormat="1" applyFont="1" applyFill="1" applyBorder="1" applyAlignment="1">
      <x:alignment vertical="top" wrapText="1"/>
    </x:xf>
    <x:xf numFmtId="0" fontId="18" fillId="16" borderId="0" xfId="0" applyNumberFormat="1" applyFont="1" applyFill="1" applyBorder="1"/>
    <x:xf numFmtId="0" fontId="24" fillId="16" borderId="0" xfId="0" applyNumberFormat="1" applyFont="1" applyFill="1" applyBorder="1" applyAlignment="1">
      <x:alignment vertical="top" wrapText="1"/>
    </x:xf>
    <x:xf numFmtId="0" fontId="24" fillId="16" borderId="0" xfId="0" applyNumberFormat="1" applyFont="1" applyFill="1" applyBorder="1"/>
    <x:xf numFmtId="0" fontId="25" fillId="17" borderId="0" xfId="0" applyNumberFormat="1" applyFont="1" applyFill="1" applyBorder="1" applyAlignment="1">
      <x:alignment vertical="top" wrapText="1"/>
    </x:xf>
    <x:xf numFmtId="0" fontId="25" fillId="17" borderId="0" xfId="0" applyNumberFormat="1" applyFont="1" applyFill="1" applyBorder="1"/>
    <x:xf numFmtId="0" fontId="25" fillId="17" borderId="0" xfId="0" applyNumberFormat="1" applyFont="1" applyFill="1" applyBorder="1" applyAlignment="1">
      <x:alignment wrapText="1"/>
    </x:xf>
    <x:xf numFmtId="0" fontId="18" fillId="14" borderId="0" xfId="0" applyNumberFormat="1" applyFont="1" applyFill="1" applyBorder="1" applyAlignment="1">
      <x:alignment vertical="top" wrapText="1"/>
    </x:xf>
    <x:xf numFmtId="0" fontId="26" fillId="14" borderId="0" xfId="0" applyNumberFormat="1" applyFont="1" applyFill="1" applyBorder="1" applyAlignment="1">
      <x:alignment vertical="top" wrapText="1"/>
    </x:xf>
    <x:xf numFmtId="0" fontId="26" fillId="14" borderId="0" xfId="0" applyNumberFormat="1" applyFont="1" applyFill="1" applyBorder="1"/>
    <x:xf numFmtId="0" fontId="26" fillId="14" borderId="0" xfId="0" applyNumberFormat="1" applyFont="1" applyFill="1" applyBorder="1" applyAlignment="1">
      <x:alignment vertical="center" wrapText="1"/>
    </x:xf>
    <x:xf numFmtId="0" fontId="26" fillId="14" borderId="0" xfId="0" applyNumberFormat="1" applyFont="1" applyFill="1" applyBorder="1" applyAlignment="1">
      <x:alignment vertical="center"/>
    </x:xf>
    <x:xf numFmtId="0" fontId="0" fillId="14" borderId="0" xfId="0" applyNumberFormat="1" applyFont="1" applyFill="1" applyBorder="1"/>
    <x:xf numFmtId="0" fontId="27" fillId="14" borderId="0" xfId="0" applyNumberFormat="1" applyFont="1" applyFill="1" applyBorder="1"/>
    <x:xf numFmtId="0" fontId="0" fillId="15" borderId="0" xfId="0" applyNumberFormat="1" applyFont="1" applyFill="1" applyBorder="1"/>
    <x:xf numFmtId="0" fontId="28" fillId="15" borderId="0" xfId="0" applyNumberFormat="1" applyFont="1" applyFill="1" applyBorder="1"/>
    <x:xf numFmtId="0" fontId="28" fillId="15" borderId="0" xfId="0" applyNumberFormat="1" applyFont="1" applyFill="1" applyBorder="1" applyAlignment="1">
      <x:alignment wrapText="1"/>
    </x:xf>
    <x:xf numFmtId="0" fontId="0" fillId="16" borderId="0" xfId="0" applyNumberFormat="1" applyFont="1" applyFill="1" applyBorder="1"/>
    <x:xf numFmtId="0" fontId="12" fillId="16" borderId="0" xfId="0" applyNumberFormat="1" applyFont="1" applyFill="1" applyBorder="1"/>
    <x:xf numFmtId="0" fontId="12" fillId="16" borderId="0" xfId="0" applyNumberFormat="1" applyFont="1" applyFill="1" applyBorder="1" applyAlignment="1">
      <x:alignment wrapText="1"/>
    </x:xf>
    <x:xf numFmtId="0" fontId="28" fillId="0" borderId="0" xfId="0" applyNumberFormat="1" applyFont="1" applyFill="1" applyBorder="1"/>
    <x:xf numFmtId="0" fontId="28" fillId="0" borderId="0" xfId="0" applyNumberFormat="1" applyFont="1" applyFill="1" applyBorder="1" applyAlignment="1">
      <x:alignment wrapText="1"/>
    </x:xf>
    <x:xf numFmtId="0" fontId="28" fillId="0" borderId="0" xfId="0" applyNumberFormat="1" applyFont="1" applyFill="1" applyBorder="1" applyAlignment="1">
      <x:alignment vertical="top" wrapText="1"/>
    </x:xf>
    <x:xf numFmtId="0" fontId="22" fillId="15" borderId="0" xfId="0" applyNumberFormat="1" applyFont="1" applyFill="1" applyBorder="1" applyAlignment="1">
      <x:alignment horizontal="center" vertical="center" wrapText="1"/>
    </x:xf>
    <x:xf numFmtId="0" fontId="22" fillId="15" borderId="0" xfId="0" applyNumberFormat="1" applyFont="1" applyFill="1" applyBorder="1" applyAlignment="1">
      <x:alignment horizontal="center" vertical="center"/>
    </x:xf>
    <x:xf numFmtId="0" fontId="24" fillId="16"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top" wrapText="1"/>
    </x:xf>
    <x:xf numFmtId="0" fontId="29" fillId="14" borderId="0" xfId="0" applyNumberFormat="1" applyFont="1" applyFill="1" applyBorder="1" applyAlignment="1">
      <x:alignment vertical="center" wrapText="1"/>
    </x:xf>
    <x:xf numFmtId="0" fontId="10" fillId="14" borderId="0" xfId="0" applyNumberFormat="1" applyFont="1" applyFill="1" applyBorder="1" applyAlignment="1">
      <x:alignment vertical="center"/>
    </x:xf>
    <x:xf numFmtId="0" fontId="30" fillId="14" borderId="0" xfId="0" applyNumberFormat="1" applyFont="1" applyFill="1" applyBorder="1" applyAlignment="1">
      <x:alignment vertical="center"/>
    </x:xf>
    <x:xf numFmtId="0" fontId="20" fillId="19" borderId="0" xfId="0" applyNumberFormat="1" applyFont="1" applyFill="1" applyBorder="1" applyAlignment="1">
      <x:alignment vertical="center" wrapText="1"/>
    </x:xf>
    <x:xf numFmtId="0" fontId="20" fillId="19" borderId="0" xfId="0" applyNumberFormat="1" applyFont="1" applyFill="1" applyBorder="1" applyAlignment="1">
      <x:alignment horizontal="center" vertical="center" wrapText="1"/>
    </x:xf>
    <x:xf numFmtId="0" fontId="31" fillId="19" borderId="0" xfId="0" applyNumberFormat="1" applyFont="1" applyFill="1" applyBorder="1" applyAlignment="1">
      <x:alignment vertical="center" wrapText="1"/>
    </x:xf>
    <x:xf numFmtId="0" fontId="31" fillId="19" borderId="0" xfId="0" applyNumberFormat="1" applyFont="1" applyFill="1" applyBorder="1" applyAlignment="1">
      <x:alignment horizontal="center" vertical="center" wrapText="1"/>
    </x:xf>
    <x:xf numFmtId="0" fontId="3" fillId="2" borderId="0" xfId="0" applyNumberFormat="1" applyFont="1" applyFill="1" applyBorder="1" applyAlignment="1">
      <x:alignment vertical="center" wrapText="1"/>
    </x:xf>
    <x:xf numFmtId="0" fontId="0" fillId="2" borderId="0" xfId="0" applyNumberFormat="1" applyFont="1" applyFill="1" applyBorder="1"/>
    <x:xf numFmtId="0" fontId="8"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5" fillId="2" borderId="0" xfId="0" applyNumberFormat="1" applyFont="1" applyFill="1" applyBorder="1" applyAlignment="1">
      <x:alignment vertical="top" wrapText="1"/>
    </x:xf>
    <x:xf numFmtId="0" fontId="17" fillId="2" borderId="0" xfId="0" applyNumberFormat="1" applyFont="1" applyFill="1" applyBorder="1" applyAlignment="1">
      <x:alignment vertical="center" wrapText="1"/>
    </x:xf>
    <x:xf numFmtId="0" fontId="18" fillId="2" borderId="0" xfId="0" applyNumberFormat="1" applyFont="1" applyFill="1" applyBorder="1"/>
    <x:xf numFmtId="0" fontId="18" fillId="2" borderId="0" xfId="0" applyNumberFormat="1" applyFont="1" applyFill="1" applyBorder="1" applyAlignment="1">
      <x:alignment vertical="top" wrapText="1"/>
    </x:xf>
    <x:xf numFmtId="0" fontId="17" fillId="2"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17" fillId="2" borderId="0" xfId="0" applyNumberFormat="1" applyFont="1" applyFill="1" applyBorder="1" applyAlignment="1">
      <x:alignment horizontal="center" vertical="center" wrapText="1"/>
    </x:xf>
    <x:xf numFmtId="0" fontId="18" fillId="8" borderId="0" xfId="0" applyNumberFormat="1" applyFont="1" applyFill="1" applyBorder="1" applyAlignment="1">
      <x:alignment vertical="top" wrapText="1"/>
    </x:xf>
    <x:xf numFmtId="0" fontId="18" fillId="8" borderId="0" xfId="0" applyNumberFormat="1" applyFont="1" applyFill="1" applyBorder="1"/>
    <x:xf numFmtId="0" fontId="17" fillId="8" borderId="0" xfId="0" applyNumberFormat="1" applyFont="1" applyFill="1" applyBorder="1" applyAlignment="1">
      <x:alignment horizontal="center" vertical="top" wrapText="1"/>
    </x:xf>
    <x:xf numFmtId="0" fontId="20" fillId="8" borderId="0" xfId="0" applyNumberFormat="1" applyFont="1" applyFill="1" applyBorder="1" applyAlignment="1">
      <x:alignment vertical="top" wrapText="1"/>
    </x:xf>
    <x:xf numFmtId="0" fontId="20" fillId="8" borderId="0" xfId="0" applyNumberFormat="1" applyFont="1" applyFill="1" applyBorder="1"/>
    <x:xf numFmtId="0" fontId="20" fillId="8" borderId="0" xfId="0" applyNumberFormat="1" applyFont="1" applyFill="1" applyBorder="1" applyAlignment="1">
      <x:alignment horizontal="center" vertical="top" wrapText="1"/>
    </x:xf>
    <x:xf numFmtId="0" fontId="20" fillId="8" borderId="0" xfId="0" applyNumberFormat="1" applyFont="1" applyFill="1" applyBorder="1" applyAlignment="1">
      <x:alignment wrapText="1"/>
    </x:xf>
    <x:xf numFmtId="0" fontId="20" fillId="8" borderId="0" xfId="0" applyNumberFormat="1" applyFont="1" applyFill="1" applyBorder="1" applyAlignment="1">
      <x:alignment vertical="center" wrapText="1"/>
    </x:xf>
    <x:xf numFmtId="0" fontId="20" fillId="8" borderId="0" xfId="0" applyNumberFormat="1" applyFont="1" applyFill="1" applyBorder="1" applyAlignment="1">
      <x:alignment horizontal="center" vertical="center" wrapText="1"/>
    </x:xf>
    <x:xf numFmtId="0" fontId="21" fillId="2" borderId="0" xfId="0" applyNumberFormat="1" applyFont="1" applyFill="1" applyBorder="1" applyAlignment="1">
      <x:alignment vertical="top" wrapText="1"/>
    </x:xf>
    <x:xf numFmtId="0" fontId="23" fillId="2" borderId="0" xfId="0" applyNumberFormat="1" applyFont="1" applyFill="1" applyBorder="1" applyAlignment="1">
      <x:alignment vertical="top" wrapText="1"/>
    </x:xf>
    <x:xf numFmtId="0" fontId="23" fillId="2" borderId="0" xfId="0" applyNumberFormat="1" applyFont="1" applyFill="1" applyBorder="1"/>
    <x:xf numFmtId="0" fontId="23" fillId="2" borderId="0" xfId="0" applyNumberFormat="1" applyFont="1" applyFill="1" applyBorder="1" applyAlignment="1">
      <x:alignment wrapText="1"/>
    </x:xf>
    <x:xf numFmtId="0" fontId="25" fillId="2" borderId="0" xfId="0" applyNumberFormat="1" applyFont="1" applyFill="1" applyBorder="1" applyAlignment="1">
      <x:alignment vertical="top" wrapText="1"/>
    </x:xf>
    <x:xf numFmtId="0" fontId="25" fillId="2" borderId="0" xfId="0" applyNumberFormat="1" applyFont="1" applyFill="1" applyBorder="1"/>
    <x:xf numFmtId="0" fontId="25" fillId="2" borderId="0" xfId="0" applyNumberFormat="1" applyFont="1" applyFill="1" applyBorder="1" applyAlignment="1">
      <x:alignment wrapText="1"/>
    </x:xf>
    <x:xf numFmtId="0" fontId="18" fillId="2"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wrapText="1"/>
    </x:xf>
    <x:xf numFmtId="0" fontId="19" fillId="20" borderId="0" xfId="0" applyNumberFormat="1" applyFont="1" applyFill="1" applyBorder="1" applyAlignment="1">
      <x:alignment vertical="center" wrapText="1"/>
    </x:xf>
    <x:xf numFmtId="0" fontId="18" fillId="20" borderId="0" xfId="0" applyNumberFormat="1" applyFont="1" applyFill="1" applyBorder="1" applyAlignment="1">
      <x:alignment vertical="top" wrapText="1"/>
    </x:xf>
    <x:xf numFmtId="0" fontId="17" fillId="20" borderId="0" xfId="0" applyNumberFormat="1" applyFont="1" applyFill="1" applyBorder="1" applyAlignment="1">
      <x:alignment vertical="top" wrapText="1"/>
    </x:xf>
    <x:xf numFmtId="0" fontId="31" fillId="20" borderId="0" xfId="0" applyNumberFormat="1" applyFont="1" applyFill="1" applyBorder="1" applyAlignment="1">
      <x:alignment vertical="center" wrapText="1"/>
    </x:xf>
    <x:xf numFmtId="0" fontId="31" fillId="20" borderId="0" xfId="0" applyNumberFormat="1" applyFont="1" applyFill="1" applyBorder="1" applyAlignment="1">
      <x:alignment horizontal="center" vertical="center" wrapText="1"/>
    </x:xf>
    <x:xf numFmtId="0" fontId="17" fillId="20" borderId="0" xfId="0" applyNumberFormat="1" applyFont="1" applyFill="1" applyBorder="1" applyAlignment="1">
      <x:alignment horizontal="center" vertical="center" wrapText="1"/>
    </x:xf>
    <x:xf numFmtId="0" fontId="21" fillId="20" borderId="0" xfId="0" applyNumberFormat="1" applyFont="1" applyFill="1" applyBorder="1" applyAlignment="1">
      <x:alignment vertical="top" wrapText="1"/>
    </x:xf>
    <x:xf numFmtId="0" fontId="22" fillId="20" borderId="0" xfId="0" applyNumberFormat="1" applyFont="1" applyFill="1" applyBorder="1" applyAlignment="1">
      <x:alignment horizontal="center" vertical="center" wrapText="1"/>
    </x:xf>
    <x:xf numFmtId="0" fontId="23" fillId="20" borderId="0" xfId="0" applyNumberFormat="1" applyFont="1" applyFill="1" applyBorder="1" applyAlignment="1">
      <x:alignment vertical="top" wrapText="1"/>
    </x:xf>
    <x:xf numFmtId="0" fontId="24" fillId="20" borderId="0" xfId="0" applyNumberFormat="1" applyFont="1" applyFill="1" applyBorder="1" applyAlignment="1">
      <x:alignment vertical="top" wrapText="1"/>
    </x:xf>
    <x:xf numFmtId="0" fontId="24" fillId="20" borderId="0" xfId="0" applyNumberFormat="1" applyFont="1" applyFill="1" applyBorder="1" applyAlignment="1">
      <x:alignment horizontal="center" vertical="top" wrapText="1"/>
    </x:xf>
    <x:xf numFmtId="0" fontId="18" fillId="20" borderId="0" xfId="0" applyNumberFormat="1" applyFont="1" applyFill="1" applyBorder="1" applyAlignment="1">
      <x:alignment horizontal="center" vertical="top" wrapText="1"/>
    </x:xf>
    <x:xf numFmtId="0" fontId="25" fillId="20" borderId="0" xfId="0" applyNumberFormat="1" applyFont="1" applyFill="1" applyBorder="1" applyAlignment="1">
      <x:alignment vertical="top" wrapText="1"/>
    </x:xf>
    <x:xf numFmtId="0" fontId="26" fillId="20" borderId="0" xfId="0" applyNumberFormat="1" applyFont="1" applyFill="1" applyBorder="1" applyAlignment="1">
      <x:alignment vertical="center" wrapText="1"/>
    </x:xf>
    <x:xf numFmtId="0" fontId="32" fillId="20" borderId="0" xfId="0" applyNumberFormat="1" applyFont="1" applyFill="1" applyBorder="1" applyAlignment="1">
      <x:alignment vertical="center" wrapText="1"/>
    </x:xf>
    <x:xf numFmtId="0" fontId="33" fillId="20" borderId="0" xfId="0" applyNumberFormat="1" applyFont="1" applyFill="1" applyBorder="1" applyAlignment="1">
      <x:alignment vertical="top" wrapText="1"/>
    </x:xf>
    <x:xf numFmtId="0" fontId="32" fillId="20" borderId="0" xfId="0" applyNumberFormat="1" applyFont="1" applyFill="1" applyBorder="1" applyAlignment="1">
      <x:alignment vertical="top" wrapText="1"/>
    </x:xf>
    <x:xf numFmtId="0" fontId="32" fillId="20" borderId="0" xfId="0" applyNumberFormat="1" applyFont="1" applyFill="1" applyBorder="1" applyAlignment="1">
      <x:alignment horizontal="center" vertical="center" wrapText="1"/>
    </x:xf>
    <x:xf numFmtId="0" fontId="32" fillId="20" borderId="0" xfId="0" applyNumberFormat="1" applyFont="1" applyFill="1" applyBorder="1" applyAlignment="1">
      <x:alignment horizontal="center" vertical="top" wrapText="1"/>
    </x:xf>
    <x:xf numFmtId="0" fontId="33" fillId="20" borderId="0" xfId="0" applyNumberFormat="1" applyFont="1" applyFill="1" applyBorder="1" applyAlignment="1">
      <x:alignment horizontal="center" vertical="top" wrapText="1"/>
    </x:xf>
    <x:xf numFmtId="0" fontId="33" fillId="20" borderId="0" xfId="0" applyNumberFormat="1" applyFont="1" applyFill="1" applyBorder="1" applyAlignment="1">
      <x:alignment vertical="center" wrapText="1"/>
    </x:xf>
    <x:xf numFmtId="0" fontId="33" fillId="20" borderId="0" xfId="0" applyNumberFormat="1" applyFont="1" applyFill="1" applyBorder="1" applyAlignment="1">
      <x:alignment horizontal="center" vertical="center" wrapText="1"/>
    </x:xf>
    <x:xf numFmtId="0" fontId="32" fillId="21" borderId="0" xfId="0" applyNumberFormat="1" applyFont="1" applyFill="1" applyBorder="1" applyAlignment="1">
      <x:alignment vertical="center" wrapText="1"/>
    </x:xf>
    <x:xf numFmtId="0" fontId="34" fillId="21" borderId="0" xfId="0" applyNumberFormat="1" applyFont="1" applyFill="1" applyBorder="1" applyAlignment="1">
      <x:alignment vertical="center" wrapText="1"/>
    </x:xf>
    <x:xf numFmtId="0" fontId="32" fillId="22" borderId="0" xfId="0" applyNumberFormat="1" applyFont="1" applyFill="1" applyBorder="1" applyAlignment="1">
      <x:alignment vertical="center" wrapText="1"/>
    </x:xf>
    <x:xf numFmtId="0" fontId="32" fillId="22" borderId="0" xfId="0" applyNumberFormat="1" applyFont="1" applyFill="1" applyBorder="1" applyAlignment="1">
      <x:alignment horizontal="center" vertical="center" wrapText="1"/>
    </x:xf>
    <x:xf numFmtId="0" fontId="35" fillId="22" borderId="0" xfId="0" applyNumberFormat="1" applyFont="1" applyFill="1" applyBorder="1" applyAlignment="1">
      <x:alignment vertical="center" wrapText="1"/>
    </x:xf>
    <x:xf numFmtId="0" fontId="35" fillId="22" borderId="0" xfId="0" applyNumberFormat="1" applyFont="1" applyFill="1" applyBorder="1" applyAlignment="1">
      <x:alignment horizontal="center" vertical="center" wrapText="1"/>
    </x:xf>
    <x:xf numFmtId="0" fontId="36" fillId="20" borderId="0" xfId="0" applyNumberFormat="1" applyFont="1" applyFill="1" applyBorder="1" applyAlignment="1">
      <x:alignment horizontal="center" vertical="center" wrapText="1"/>
    </x:xf>
    <x:xf numFmtId="0" fontId="36" fillId="20" borderId="0" xfId="0" applyNumberFormat="1" applyFont="1" applyFill="1" applyBorder="1" applyAlignment="1">
      <x:alignment vertical="center" wrapText="1"/>
    </x:xf>
    <x:xf numFmtId="0" fontId="32" fillId="23" borderId="0" xfId="0" applyNumberFormat="1" applyFont="1" applyFill="1" applyBorder="1" applyAlignment="1">
      <x:alignment vertical="center" wrapText="1"/>
    </x:xf>
    <x:xf numFmtId="0" fontId="33" fillId="23" borderId="0" xfId="0" applyNumberFormat="1" applyFont="1" applyFill="1" applyBorder="1" applyAlignment="1">
      <x:alignment vertical="center" wrapText="1"/>
    </x:xf>
    <x:xf numFmtId="0" fontId="32" fillId="23" borderId="0" xfId="0" applyNumberFormat="1" applyFont="1" applyFill="1" applyBorder="1" applyAlignment="1">
      <x:alignment horizontal="center" vertical="center" wrapText="1"/>
    </x:xf>
    <x:xf numFmtId="0" fontId="37" fillId="23" borderId="0" xfId="0" applyNumberFormat="1" applyFont="1" applyFill="1" applyBorder="1" applyAlignment="1">
      <x:alignment vertical="center" wrapText="1"/>
    </x:xf>
    <x:xf numFmtId="0" fontId="37" fillId="23" borderId="0" xfId="0" applyNumberFormat="1" applyFont="1" applyFill="1" applyBorder="1" applyAlignment="1">
      <x:alignment horizontal="center" vertical="center" wrapText="1"/>
    </x:xf>
    <x:xf numFmtId="0" fontId="32" fillId="24" borderId="0" xfId="0" applyNumberFormat="1" applyFont="1" applyFill="1" applyBorder="1" applyAlignment="1">
      <x:alignment vertical="center" wrapText="1"/>
    </x:xf>
    <x:xf numFmtId="0" fontId="33" fillId="24" borderId="0" xfId="0" applyNumberFormat="1" applyFont="1" applyFill="1" applyBorder="1" applyAlignment="1">
      <x:alignment vertical="center" wrapText="1"/>
    </x:xf>
    <x:xf numFmtId="0" fontId="33" fillId="25" borderId="0" xfId="0" applyNumberFormat="1" applyFont="1" applyFill="1" applyBorder="1" applyAlignment="1">
      <x:alignment vertical="center" wrapText="1"/>
    </x:xf>
    <x:xf numFmtId="0" fontId="26" fillId="25" borderId="0" xfId="0" applyNumberFormat="1" applyFont="1" applyFill="1" applyBorder="1" applyAlignment="1">
      <x:alignment vertical="center" wrapText="1"/>
    </x:xf>
    <x:xf numFmtId="0" fontId="33" fillId="26" borderId="0" xfId="0" applyNumberFormat="1" applyFont="1" applyFill="1" applyBorder="1" applyAlignment="1">
      <x:alignment vertical="center" wrapText="1"/>
    </x:xf>
    <x:xf numFmtId="0" fontId="35" fillId="20" borderId="0" xfId="0" applyNumberFormat="1" applyFont="1" applyFill="1" applyBorder="1" applyAlignment="1">
      <x:alignment vertical="center" wrapText="1"/>
    </x:xf>
    <x:xf numFmtId="0" fontId="0" fillId="21" borderId="0" xfId="0" applyNumberFormat="1" applyFont="1" applyFill="1" applyBorder="1"/>
    <x:xf numFmtId="0" fontId="38" fillId="21" borderId="0" xfId="0" applyNumberFormat="1" applyFont="1" applyFill="1" applyBorder="1"/>
    <x:xf numFmtId="0" fontId="0" fillId="25" borderId="0" xfId="0" applyNumberFormat="1" applyFont="1" applyFill="1" applyBorder="1"/>
    <x:xf numFmtId="0" fontId="12" fillId="25" borderId="0" xfId="0" applyNumberFormat="1" applyFont="1" applyFill="1" applyBorder="1"/>
    <x:xf numFmtId="0" fontId="12" fillId="25" borderId="0" xfId="0" applyNumberFormat="1" applyFont="1" applyFill="1" applyBorder="1" applyAlignment="1">
      <x:alignment wrapText="1"/>
    </x:xf>
    <x:xf numFmtId="0" fontId="33" fillId="0" borderId="0" xfId="0" applyNumberFormat="1" applyFont="1" applyFill="1" applyBorder="1"/>
    <x:xf numFmtId="0" fontId="33" fillId="0" borderId="0" xfId="0" applyNumberFormat="1" applyFont="1" applyFill="1" applyBorder="1" applyAlignment="1">
      <x:alignment wrapText="1"/>
    </x:xf>
    <x:xf numFmtId="0" fontId="33" fillId="0" borderId="0" xfId="0" applyNumberFormat="1" applyFont="1" applyFill="1" applyBorder="1" applyAlignment="1">
      <x:alignment vertical="top" wrapText="1"/>
    </x:xf>
    <x:xf numFmtId="0" fontId="19" fillId="2" borderId="0" xfId="0" applyNumberFormat="1" applyFont="1" applyFill="1" applyBorder="1" applyAlignment="1">
      <x:alignment vertical="center" wrapText="1"/>
    </x:xf>
    <x:xf numFmtId="0" fontId="31" fillId="2" borderId="0" xfId="0" applyNumberFormat="1" applyFont="1" applyFill="1" applyBorder="1" applyAlignment="1">
      <x:alignment vertical="center" wrapText="1"/>
    </x:xf>
    <x:xf numFmtId="0" fontId="31" fillId="2" borderId="0" xfId="0" applyNumberFormat="1" applyFont="1" applyFill="1" applyBorder="1" applyAlignment="1">
      <x:alignment horizontal="center" vertical="center" wrapText="1"/>
    </x:xf>
    <x:xf numFmtId="0" fontId="22" fillId="2" borderId="0" xfId="0" applyNumberFormat="1" applyFont="1" applyFill="1" applyBorder="1" applyAlignment="1">
      <x:alignment horizontal="center" vertical="center" wrapText="1"/>
    </x:xf>
    <x:xf numFmtId="0" fontId="24" fillId="2" borderId="0" xfId="0" applyNumberFormat="1" applyFont="1" applyFill="1" applyBorder="1" applyAlignment="1">
      <x:alignment vertical="top" wrapText="1"/>
    </x:xf>
    <x:xf numFmtId="0" fontId="24" fillId="2" borderId="0" xfId="0" applyNumberFormat="1" applyFont="1" applyFill="1" applyBorder="1" applyAlignment="1">
      <x:alignment horizontal="center" vertical="top" wrapText="1"/>
    </x:xf>
    <x:xf numFmtId="0" fontId="26" fillId="2" borderId="0" xfId="0" applyNumberFormat="1" applyFont="1" applyFill="1" applyBorder="1" applyAlignment="1">
      <x:alignment vertical="center" wrapText="1"/>
    </x:xf>
    <x:xf numFmtId="0" fontId="32" fillId="2" borderId="0" xfId="0" applyNumberFormat="1" applyFont="1" applyFill="1" applyBorder="1" applyAlignment="1">
      <x:alignment vertical="center" wrapText="1"/>
    </x:xf>
    <x:xf numFmtId="0" fontId="33" fillId="2" borderId="0" xfId="0" applyNumberFormat="1" applyFont="1" applyFill="1" applyBorder="1" applyAlignment="1">
      <x:alignment vertical="top" wrapText="1"/>
    </x:xf>
    <x:xf numFmtId="0" fontId="32" fillId="2" borderId="0" xfId="0" applyNumberFormat="1" applyFont="1" applyFill="1" applyBorder="1" applyAlignment="1">
      <x:alignment vertical="top" wrapText="1"/>
    </x:xf>
    <x:xf numFmtId="0" fontId="32" fillId="2" borderId="0" xfId="0" applyNumberFormat="1" applyFont="1" applyFill="1" applyBorder="1" applyAlignment="1">
      <x:alignment horizontal="center" vertical="center" wrapText="1"/>
    </x:xf>
    <x:xf numFmtId="0" fontId="32" fillId="2" borderId="0" xfId="0" applyNumberFormat="1" applyFont="1" applyFill="1" applyBorder="1" applyAlignment="1">
      <x:alignment horizontal="center" vertical="top" wrapText="1"/>
    </x:xf>
    <x:xf numFmtId="0" fontId="33" fillId="2" borderId="0" xfId="0" applyNumberFormat="1" applyFont="1" applyFill="1" applyBorder="1" applyAlignment="1">
      <x:alignment horizontal="center" vertical="top" wrapText="1"/>
    </x:xf>
    <x:xf numFmtId="0" fontId="33" fillId="2" borderId="0" xfId="0" applyNumberFormat="1" applyFont="1" applyFill="1" applyBorder="1" applyAlignment="1">
      <x:alignment vertical="center" wrapText="1"/>
    </x:xf>
    <x:xf numFmtId="0" fontId="33" fillId="2" borderId="0" xfId="0" applyNumberFormat="1" applyFont="1" applyFill="1" applyBorder="1" applyAlignment="1">
      <x:alignment horizontal="center" vertical="center" wrapText="1"/>
    </x:xf>
    <x:xf numFmtId="0" fontId="36" fillId="2" borderId="0" xfId="0" applyNumberFormat="1" applyFont="1" applyFill="1" applyBorder="1" applyAlignment="1">
      <x:alignment horizontal="center" vertical="center" wrapText="1"/>
    </x:xf>
    <x:xf numFmtId="0" fontId="36" fillId="2" borderId="0" xfId="0" applyNumberFormat="1" applyFont="1" applyFill="1" applyBorder="1" applyAlignment="1">
      <x:alignment vertical="center" wrapText="1"/>
    </x:xf>
    <x:xf numFmtId="0" fontId="32" fillId="15" borderId="0" xfId="0" applyNumberFormat="1" applyFont="1" applyFill="1" applyBorder="1" applyAlignment="1">
      <x:alignment vertical="center" wrapText="1"/>
    </x:xf>
    <x:xf numFmtId="0" fontId="33" fillId="15" borderId="0" xfId="0" applyNumberFormat="1" applyFont="1" applyFill="1" applyBorder="1" applyAlignment="1">
      <x:alignment vertical="center" wrapText="1"/>
    </x:xf>
    <x:xf numFmtId="0" fontId="32" fillId="15" borderId="0" xfId="0" applyNumberFormat="1" applyFont="1" applyFill="1" applyBorder="1" applyAlignment="1">
      <x:alignment horizontal="center" vertical="center" wrapText="1"/>
    </x:xf>
    <x:xf numFmtId="0" fontId="37" fillId="15" borderId="0" xfId="0" applyNumberFormat="1" applyFont="1" applyFill="1" applyBorder="1" applyAlignment="1">
      <x:alignment vertical="center" wrapText="1"/>
    </x:xf>
    <x:xf numFmtId="0" fontId="37" fillId="15" borderId="0" xfId="0" applyNumberFormat="1" applyFont="1" applyFill="1" applyBorder="1" applyAlignment="1">
      <x:alignment horizontal="center" vertical="center" wrapText="1"/>
    </x:xf>
    <x:xf numFmtId="0" fontId="35" fillId="2" borderId="0" xfId="0" applyNumberFormat="1" applyFont="1" applyFill="1" applyBorder="1" applyAlignment="1">
      <x:alignment vertical="center" wrapText="1"/>
    </x:xf>
    <x:xf numFmtId="0" fontId="2" fillId="27" borderId="0" xfId="0" applyNumberFormat="1" applyFont="1" applyFill="1" applyBorder="1" applyAlignment="1">
      <x:alignment vertical="top" wrapText="1"/>
    </x:xf>
    <x:xf numFmtId="0" fontId="39" fillId="27" borderId="0" xfId="0" applyNumberFormat="1" applyFont="1" applyFill="1" applyBorder="1" applyAlignment="1">
      <x:alignment vertical="top" wrapText="1"/>
    </x:xf>
    <x:xf numFmtId="0" fontId="0" fillId="28" borderId="0" xfId="0" applyNumberFormat="1" applyFont="1" applyFill="1" applyBorder="1"/>
    <x:xf numFmtId="0" fontId="10" fillId="28" borderId="0" xfId="0" applyNumberFormat="1" applyFont="1" applyFill="1" applyBorder="1"/>
    <x:xf numFmtId="0" fontId="10" fillId="28" borderId="0" xfId="0" applyNumberFormat="1" applyFont="1" applyFill="1" applyBorder="1" applyAlignment="1">
      <x:alignment vertical="center"/>
    </x:xf>
    <x:xf numFmtId="0" fontId="33" fillId="0" borderId="0" xfId="0" applyNumberFormat="1" applyFont="1" applyFill="1" applyBorder="1" applyAlignment="1">
      <x:alignment vertical="center" wrapText="1"/>
    </x:xf>
    <x:xf numFmtId="0" fontId="0" fillId="29" borderId="0" xfId="0" applyNumberFormat="1" applyFont="1" applyFill="1" applyBorder="1"/>
    <x:xf numFmtId="0" fontId="12" fillId="29" borderId="0" xfId="0" applyNumberFormat="1" applyFont="1" applyFill="1" applyBorder="1"/>
    <x:xf numFmtId="0" fontId="12" fillId="29" borderId="0" xfId="0" applyNumberFormat="1" applyFont="1" applyFill="1" applyBorder="1" applyAlignment="1">
      <x:alignment wrapText="1"/>
    </x:xf>
    <x:xf numFmtId="0" fontId="39" fillId="0" borderId="0" xfId="0" applyNumberFormat="1" applyFont="1" applyFill="1" applyBorder="1"/>
    <x:xf numFmtId="0" fontId="39" fillId="0" borderId="0" xfId="0" applyNumberFormat="1" applyFont="1" applyFill="1" applyBorder="1" applyAlignment="1">
      <x:alignment wrapText="1"/>
    </x:xf>
    <x:xf numFmtId="0" fontId="39" fillId="0" borderId="0" xfId="0" applyNumberFormat="1" applyFont="1" applyFill="1" applyBorder="1" applyAlignment="1">
      <x:alignment vertical="top" wrapText="1"/>
    </x:xf>
    <x:xf numFmtId="0" fontId="40" fillId="2" borderId="0" xfId="0" applyNumberFormat="1" applyFont="1" applyFill="1" applyBorder="1" applyAlignment="1">
      <x:alignment vertical="top" wrapText="1"/>
    </x:xf>
  </x:cellXfs>
  <x:cellStyles count="1">
    <x:cellStyle name="Normal" xfId="0"/>
  </x:cellStyles>
  <x:dxfs count="15">
    <x:dxf>
      <x:fill>
        <x:patternFill>
          <x:bgColor rgb="FFDDF1E4"/>
        </x:patternFill>
      </x:fill>
    </x:dxf>
    <x:dxf>
      <x:fill>
        <x:patternFill>
          <x:bgColor rgb="FFEAE3F5"/>
        </x:patternFill>
      </x:fill>
    </x:dxf>
    <x:dxf>
      <x:fill>
        <x:patternFill>
          <x:bgColor rgb="FFEDF4F8"/>
        </x:patternFill>
      </x:fill>
    </x:dxf>
    <x:dxf>
      <x:fill>
        <x:patternFill>
          <x:bgColor rgb="FFFFF0CF"/>
        </x:patternFill>
      </x:fill>
    </x:dxf>
    <x:dxf>
      <x:fill>
        <x:patternFill>
          <x:bgColor rgb="FFFBE0E5"/>
        </x:patternFill>
      </x:fill>
    </x:dxf>
    <x:dxf>
      <x:fill>
        <x:patternFill>
          <x:bgColor rgb="FFDFF2E6"/>
        </x:patternFill>
      </x:fill>
    </x:dxf>
    <x:dxf>
      <x:fill>
        <x:patternFill>
          <x:bgColor rgb="FFEDE5F5"/>
        </x:patternFill>
      </x:fill>
    </x:dxf>
    <x:dxf>
      <x:fill>
        <x:patternFill>
          <x:bgColor rgb="FFE8EEF7"/>
        </x:patternFill>
      </x:fill>
    </x:dxf>
    <x:dxf>
      <x:fill>
        <x:patternFill>
          <x:bgColor rgb="FFFFF0CC"/>
        </x:patternFill>
      </x:fill>
    </x:dxf>
    <x:dxf>
      <x:fill>
        <x:patternFill>
          <x:bgColor rgb="FFF8DEE4"/>
        </x:patternFill>
      </x:fill>
    </x:dxf>
    <x:dxf>
      <x:fill>
        <x:patternFill>
          <x:bgColor rgb="FFDDF2E5"/>
        </x:patternFill>
      </x:fill>
    </x:dxf>
    <x:dxf>
      <x:fill>
        <x:patternFill>
          <x:bgColor rgb="FFFFF0CE"/>
        </x:patternFill>
      </x:fill>
    </x:dxf>
    <x:dxf>
      <x:fill>
        <x:patternFill>
          <x:bgColor rgb="FFF2E8EB"/>
        </x:patternFill>
      </x:fill>
    </x:dxf>
    <x:dxf>
      <x:fill>
        <x:patternFill>
          <x:bgColor rgb="FFE7EBFB"/>
        </x:patternFill>
      </x:fill>
    </x:dxf>
    <x:dxf>
      <x:fill>
        <x:patternFill>
          <x:bgColor rgb="FFF9D5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b9242490bf44cf" /><Relationship Type="http://schemas.openxmlformats.org/officeDocument/2006/relationships/theme" Target="/xl/theme/theme1.xml" Id="R6db6c0dcd6c74938" /><Relationship Type="http://schemas.openxmlformats.org/officeDocument/2006/relationships/sharedStrings" Target="/xl/sharedStrings.xml" Id="R4fdbe743165541b9" /><Relationship Type="http://schemas.openxmlformats.org/officeDocument/2006/relationships/worksheet" Target="/xl/worksheets/sheet1.xml" Id="Rf3a988cf533c4f3d" /><Relationship Type="http://schemas.openxmlformats.org/officeDocument/2006/relationships/worksheet" Target="/xl/worksheets/sheet2.xml" Id="Rf6f5b98a662d4c2c" /><Relationship Type="http://schemas.openxmlformats.org/officeDocument/2006/relationships/worksheet" Target="/xl/worksheets/sheet3.xml" Id="Rb9f75f4388ed43f1" /><Relationship Type="http://schemas.openxmlformats.org/officeDocument/2006/relationships/worksheet" Target="/xl/worksheets/sheet4.xml" Id="R0a34726efa13436f" /><Relationship Type="http://schemas.openxmlformats.org/officeDocument/2006/relationships/worksheet" Target="/xl/worksheets/sheet5.xml" Id="R46329a4b7afa4676" /><Relationship Type="http://schemas.openxmlformats.org/officeDocument/2006/relationships/worksheet" Target="/xl/worksheets/sheet6.xml" Id="R960e221143464dc8" /><Relationship Type="http://schemas.openxmlformats.org/officeDocument/2006/relationships/worksheet" Target="/xl/worksheets/sheet7.xml" Id="R7fa74edde04a47a8" /><Relationship Type="http://schemas.openxmlformats.org/officeDocument/2006/relationships/worksheet" Target="/xl/worksheets/sheet8.xml" Id="R8bc7ab022c294071" /><Relationship Type="http://schemas.openxmlformats.org/officeDocument/2006/relationships/worksheet" Target="/xl/worksheets/sheet9.xml" Id="Rfce049daf2574d98" /><Relationship Type="http://schemas.openxmlformats.org/officeDocument/2006/relationships/worksheet" Target="/xl/worksheets/sheet10.xml" Id="Rf42d87a7cb0c4207" /><Relationship Type="http://schemas.openxmlformats.org/officeDocument/2006/relationships/worksheet" Target="/xl/worksheets/sheet11.xml" Id="Rb54c539d3d7a4646" /><Relationship Type="http://schemas.openxmlformats.org/officeDocument/2006/relationships/worksheet" Target="/xl/worksheets/sheet12.xml" Id="R295d69d52b5043c0" /><Relationship Type="http://schemas.openxmlformats.org/officeDocument/2006/relationships/worksheet" Target="/xl/worksheets/sheet13.xml" Id="R20829ce808924610" /><Relationship Type="http://schemas.openxmlformats.org/officeDocument/2006/relationships/worksheet" Target="/xl/worksheets/sheet14.xml" Id="R0d33695c96cc4b49" /><Relationship Type="http://schemas.openxmlformats.org/officeDocument/2006/relationships/worksheet" Target="/xl/worksheets/sheet15.xml" Id="Rafc85fbea4be4279" /><Relationship Type="http://schemas.openxmlformats.org/officeDocument/2006/relationships/worksheet" Target="/xl/worksheets/sheet16.xml" Id="R2e919a7c63604cab" /><Relationship Type="http://schemas.openxmlformats.org/officeDocument/2006/relationships/worksheet" Target="/xl/worksheets/sheet17.xml" Id="R78d2836571f846fe" /></Relationships>
</file>

<file path=xl/tables/table1.xml><?xml version="1.0" encoding="utf-8"?>
<x:table xmlns:x="http://schemas.openxmlformats.org/spreadsheetml/2006/main" id="1" name="BacklogV30" displayName="BacklogV30" ref="A5:K141" headerRowCount="1" totalsRowCount="0" totalsRowShown="0">
  <x:tableColumns count="11">
    <x:tableColumn id="1" name="ID"/>
    <x:tableColumn id="2" name="Domaine"/>
    <x:tableColumn id="3" name="Priorité"/>
    <x:tableColumn id="4" name="Statut"/>
    <x:tableColumn id="5" name="Chantier"/>
    <x:tableColumn id="6" name="Constat / état initial"/>
    <x:tableColumn id="7" name="Travail effectué ou restant"/>
    <x:tableColumn id="8" name="Critère de validation"/>
    <x:tableColumn id="9" name="Fichiers / preuves"/>
    <x:tableColumn id="10" name="Dépendances"/>
    <x:tableColumn id="11" name="Portée / limites"/>
  </x:tableColumns>
  <x:tableStyleInfo name="TableStyleMedium2" showFirstColumn="0" showLastColumn="0" showRowStripes="1" showColumnStripes="0"/>
</x:table>
</file>

<file path=xl/tables/table2.xml><?xml version="1.0" encoding="utf-8"?>
<x:table xmlns:x="http://schemas.openxmlformats.org/spreadsheetml/2006/main" id="2" name="DeliveryV30" displayName="DeliveryV30" ref="A5:F13" headerRowCount="1" totalsRowCount="0" totalsRowShown="0">
  <x:tableColumns count="6">
    <x:tableColumn id="1" name="Référence"/>
    <x:tableColumn id="2" name="Sujet"/>
    <x:tableColumn id="3" name="Livraison"/>
    <x:tableColumn id="4" name="Validation"/>
    <x:tableColumn id="5" name="Limite"/>
    <x:tableColumn id="6" name="Source"/>
  </x:tableColumns>
  <x:tableStyleInfo name="TableStyleMedium2" showFirstColumn="0" showLastColumn="0" showRowStripes="1" showColumnStripes="0"/>
</x:table>
</file>

<file path=xl/tables/table3.xml><?xml version="1.0" encoding="utf-8"?>
<x:table xmlns:x="http://schemas.openxmlformats.org/spreadsheetml/2006/main" id="3" name="TestsV30" displayName="TestsV30" ref="A5:G14" headerRowCount="1" totalsRowCount="0" totalsRowShown="0">
  <x:tableColumns count="7">
    <x:tableColumn id="1" name="Suite"/>
    <x:tableColumn id="2" name="Résultat"/>
    <x:tableColumn id="3" name="Réussites"/>
    <x:tableColumn id="4" name="Échecs"/>
    <x:tableColumn id="5" name="Banc"/>
    <x:tableColumn id="6" name="Portée / exclusions"/>
    <x:tableColumn id="7" name="Preuve"/>
  </x:tableColumns>
  <x:tableStyleInfo name="TableStyleMedium2" showFirstColumn="0" showLastColumn="0" showRowStripes="1" showColumnStripes="0"/>
</x:table>
</file>

<file path=xl/tables/table4.xml><?xml version="1.0" encoding="utf-8"?>
<x:table xmlns:x="http://schemas.openxmlformats.org/spreadsheetml/2006/main" id="4" name="History5" displayName="History5" ref="A5:F18" headerRowCount="1" totalsRowCount="0" totalsRowShown="0">
  <x:tableColumns count="6">
    <x:tableColumn id="1" name="Fonction"/>
    <x:tableColumn id="2" name="État / portée"/>
    <x:tableColumn id="3" name="Constat vérifiable"/>
    <x:tableColumn id="4" name="Suivi associé"/>
    <x:tableColumn id="5" name="Preuve locale"/>
    <x:tableColumn id="6" name="Validation ou développement restant"/>
  </x:tableColumns>
  <x:tableStyleInfo name="TableStyleMedium2" showFirstColumn="0" showLastColumn="0" showRowStripes="1" showColumnStripes="0"/>
</x:table>
</file>

<file path=xl/tables/table5.xml><?xml version="1.0" encoding="utf-8"?>
<x:table xmlns:x="http://schemas.openxmlformats.org/spreadsheetml/2006/main" id="5" name="History6" displayName="History6" ref="A5:G45" headerRowCount="1" totalsRowCount="0" totalsRowShown="0">
  <x:tableColumns count="7">
    <x:tableColumn id="1" name="ID initial"/>
    <x:tableColumn id="2" name="Priorité"/>
    <x:tableColumn id="3" name="Statut historique"/>
    <x:tableColumn id="4" name="Domaine"/>
    <x:tableColumn id="5" name="Constat"/>
    <x:tableColumn id="6" name="Observation initiale"/>
    <x:tableColumn id="7" name="Action historique"/>
  </x:tableColumns>
  <x:tableStyleInfo name="TableStyleMedium2" showFirstColumn="0" showLastColumn="0" showRowStripes="1" showColumnStripes="0"/>
</x:table>
</file>

<file path=xl/tables/table6.xml><?xml version="1.0" encoding="utf-8"?>
<x:table xmlns:x="http://schemas.openxmlformats.org/spreadsheetml/2006/main" id="6" name="History7" displayName="History7" ref="A5:F17" headerRowCount="1" totalsRowCount="0" totalsRowShown="0">
  <x:tableColumns count="6">
    <x:tableColumn id="1" name="ID"/>
    <x:tableColumn id="2" name="Domaine"/>
    <x:tableColumn id="3" name="Livrable"/>
    <x:tableColumn id="4" name="Changement"/>
    <x:tableColumn id="5" name="Validation"/>
    <x:tableColumn id="6" name="Fichiers"/>
  </x:tableColumns>
  <x:tableStyleInfo name="TableStyleMedium2" showFirstColumn="0" showLastColumn="0" showRowStripes="1" showColumnStripes="0"/>
</x:table>
</file>

<file path=xl/tables/table7.xml><?xml version="1.0" encoding="utf-8"?>
<x:table xmlns:x="http://schemas.openxmlformats.org/spreadsheetml/2006/main" id="17" name="SourcesV30" displayName="SourcesV30" ref="A5:F34" headerRowCount="1" totalsRowCount="0" totalsRowShown="0">
  <x:tableColumns count="6">
    <x:tableColumn id="1" name="Type"/>
    <x:tableColumn id="2" name="Source"/>
    <x:tableColumn id="3" name="Version"/>
    <x:tableColumn id="4" name="Nature"/>
    <x:tableColumn id="5" name="Usage"/>
    <x:tableColumn id="6" name="Lien"/>
  </x:tableColumns>
  <x:tableStyleInfo name="TableStyleMedium2" showFirstColumn="0" showLastColumn="0" showRowStripes="1" showColumnStripes="0"/>
</x:table>
</file>

<file path=xl/tables/table8.xml><?xml version="1.0" encoding="utf-8"?>
<x:table xmlns:x="http://schemas.openxmlformats.org/spreadsheetml/2006/main" id="8" name="InstructionsV30" displayName="InstructionsV30" ref="A5:B17" headerRowCount="1" totalsRowCount="0" totalsRowShown="0">
  <x:tableColumns count="2">
    <x:tableColumn id="1" name="Sujet"/>
    <x:tableColumn id="2" name="Règle"/>
  </x:tableColumns>
  <x:tableStyleInfo name="TableStyleMedium2" showFirstColumn="0" showLastColumn="0" showRowStripes="1" showColumnStripes="0"/>
</x:table>
</file>

<file path=xl/tables/table9.xml><?xml version="1.0" encoding="utf-8"?>
<x:table xmlns:x="http://schemas.openxmlformats.org/spreadsheetml/2006/main" id="9" name="DeliveryV31" displayName="DeliveryV31" ref="A5:F11" headerRowCount="1" totalsRowCount="0" totalsRowShown="0">
  <x:tableColumns count="6">
    <x:tableColumn id="1" name="Chantier"/>
    <x:tableColumn id="2" name="Ajout"/>
    <x:tableColumn id="3" name="Protection"/>
    <x:tableColumn id="4" name="Preuve"/>
    <x:tableColumn id="5" name="Limite"/>
    <x:tableColumn id="6" name="Publication"/>
  </x:tableColumns>
  <x:tableStyleInfo name="TableStyleMedium2" showFirstColumn="0" showLastColumn="0" showRowStripes="1" showColumnStripes="0"/>
</x:table>
</file>

<file path=xl/tables/table10.xml><?xml version="1.0" encoding="utf-8"?>
<x:table xmlns:x="http://schemas.openxmlformats.org/spreadsheetml/2006/main" id="10" name="TestsV31" displayName="TestsV31" ref="A5:F12" headerRowCount="1" totalsRowCount="0" totalsRowShown="0">
  <x:tableColumns count="6">
    <x:tableColumn id="1" name="Suite"/>
    <x:tableColumn id="2" name="Exécutés"/>
    <x:tableColumn id="3" name="Réussis"/>
    <x:tableColumn id="4" name="État"/>
    <x:tableColumn id="5" name="Environnement"/>
    <x:tableColumn id="6" name="Preuve / limite"/>
  </x:tableColumns>
  <x:tableStyleInfo name="TableStyleMedium2" showFirstColumn="0" showLastColumn="0" showRowStripes="1" showColumnStripes="0"/>
</x:table>
</file>

<file path=xl/tables/table11.xml><?xml version="1.0" encoding="utf-8"?>
<x:table xmlns:x="http://schemas.openxmlformats.org/spreadsheetml/2006/main" id="11" name="LivreV32Table" displayName="LivreV32Table" ref="A5:F10" headerRowCount="1" totalsRowCount="0" totalsRowShown="0">
  <x:tableColumns count="6">
    <x:tableColumn id="1" name="ID"/>
    <x:tableColumn id="2" name="Livraison"/>
    <x:tableColumn id="3" name="Comportement réalisé"/>
    <x:tableColumn id="4" name="Conservation / reprise"/>
    <x:tableColumn id="5" name="Limites"/>
    <x:tableColumn id="6" name="Preuves"/>
  </x:tableColumns>
  <x:tableStyleInfo name="TableStyleMedium2" showFirstColumn="0" showLastColumn="0" showRowStripes="1" showColumnStripes="0"/>
</x:table>
</file>

<file path=xl/tables/table12.xml><?xml version="1.0" encoding="utf-8"?>
<x:table xmlns:x="http://schemas.openxmlformats.org/spreadsheetml/2006/main" id="12" name="TestsV32Table" displayName="TestsV32Table" ref="A5:F13" headerRowCount="1" totalsRowCount="0" totalsRowShown="0">
  <x:tableColumns count="6">
    <x:tableColumn id="1" name="Suite"/>
    <x:tableColumn id="2" name="Contrôles"/>
    <x:tableColumn id="3" name="Environnement / objet"/>
    <x:tableColumn id="4" name="Limite"/>
    <x:tableColumn id="5" name="Résultat"/>
    <x:tableColumn id="6" name="Fichier"/>
  </x:tableColumns>
  <x:tableStyleInfo name="TableStyleMedium2" showFirstColumn="0" showLastColumn="0" showRowStripes="1" showColumnStripes="0"/>
</x:table>
</file>

<file path=xl/tables/table13.xml><?xml version="1.0" encoding="utf-8"?>
<x:table xmlns:x="http://schemas.openxmlformats.org/spreadsheetml/2006/main" id="13" name="V33LivrV" displayName="V33LivrV" ref="A4:E13" headerRowCount="1" totalsRowCount="0" totalsRowShown="0">
  <x:tableColumns count="5">
    <x:tableColumn id="1" name="ID"/>
    <x:tableColumn id="2" name="Fonction"/>
    <x:tableColumn id="3" name="Livraison"/>
    <x:tableColumn id="4" name="Validation"/>
    <x:tableColumn id="5" name="Limites"/>
  </x:tableColumns>
  <x:tableStyleInfo name="TableStyleMedium2" showFirstColumn="0" showLastColumn="0" showRowStripes="1" showColumnStripes="0"/>
</x:table>
</file>

<file path=xl/tables/table14.xml><?xml version="1.0" encoding="utf-8"?>
<x:table xmlns:x="http://schemas.openxmlformats.org/spreadsheetml/2006/main" id="14" name="V33TestsV" displayName="V33TestsV" ref="A4:F11" headerRowCount="1" totalsRowCount="0" totalsRowShown="0">
  <x:tableColumns count="6">
    <x:tableColumn id="1" name="Suite"/>
    <x:tableColumn id="2" name="Résultat / état"/>
    <x:tableColumn id="3" name="Exécution"/>
    <x:tableColumn id="4" name="Preuve / source"/>
    <x:tableColumn id="5" name="Périmètre"/>
    <x:tableColumn id="6" name="Limites"/>
  </x:tableColumns>
  <x:tableStyleInfo name="TableStyleMedium2" showFirstColumn="0" showLastColumn="0" showRowStripes="1" showColumnStripes="0"/>
</x:table>
</file>

<file path=xl/tables/table15.xml><?xml version="1.0" encoding="utf-8"?>
<x:table xmlns:x="http://schemas.openxmlformats.org/spreadsheetml/2006/main" id="15" name="V34Delivery" displayName="V34Delivery" ref="A5:E10" headerRowCount="1" totalsRowCount="0" totalsRowShown="0">
  <x:tableColumns count="5">
    <x:tableColumn id="1" name="ID"/>
    <x:tableColumn id="2" name="Livraison"/>
    <x:tableColumn id="3" name="Usage"/>
    <x:tableColumn id="4" name="Validation"/>
    <x:tableColumn id="5" name="Limite"/>
  </x:tableColumns>
  <x:tableStyleInfo name="TableStyleMedium2" showFirstColumn="0" showLastColumn="0" showRowStripes="1" showColumnStripes="0"/>
</x:table>
</file>

<file path=xl/tables/table16.xml><?xml version="1.0" encoding="utf-8"?>
<x:table xmlns:x="http://schemas.openxmlformats.org/spreadsheetml/2006/main" id="16" name="V34Tests" displayName="V34Tests" ref="A5:F15" headerRowCount="1" totalsRowCount="0" totalsRowShown="0">
  <x:tableColumns count="6">
    <x:tableColumn id="1" name="Suite"/>
    <x:tableColumn id="2" name="Contrôles"/>
    <x:tableColumn id="3" name="Mode"/>
    <x:tableColumn id="4" name="Script"/>
    <x:tableColumn id="5" name="Preuve"/>
    <x:tableColumn id="6" name="Portée / exclus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fbd7bfb07943a8" /></Relationships>
</file>

<file path=xl/worksheets/_rels/sheet3.xml.rels>&#65279;<?xml version="1.0" encoding="utf-8"?><Relationships xmlns="http://schemas.openxmlformats.org/package/2006/relationships"><Relationship Type="http://schemas.openxmlformats.org/officeDocument/2006/relationships/table" Target="/xl/tables/table2.xml" Id="Rfa710423ae974174" /></Relationships>
</file>

<file path=xl/worksheets/_rels/sheet4.xml.rels>&#65279;<?xml version="1.0" encoding="utf-8"?><Relationships xmlns="http://schemas.openxmlformats.org/package/2006/relationships"><Relationship Type="http://schemas.openxmlformats.org/officeDocument/2006/relationships/table" Target="/xl/tables/table3.xml" Id="Rab9f699a79a84df3" /></Relationships>
</file>

<file path=xl/worksheets/_rels/sheet5.xml.rels>&#65279;<?xml version="1.0" encoding="utf-8"?><Relationships xmlns="http://schemas.openxmlformats.org/package/2006/relationships"><Relationship Type="http://schemas.openxmlformats.org/officeDocument/2006/relationships/table" Target="/xl/tables/table4.xml" Id="Rc3afc954c8534ef6" /></Relationships>
</file>

<file path=xl/worksheets/_rels/sheet6.xml.rels>&#65279;<?xml version="1.0" encoding="utf-8"?><Relationships xmlns="http://schemas.openxmlformats.org/package/2006/relationships"><Relationship Type="http://schemas.openxmlformats.org/officeDocument/2006/relationships/table" Target="/xl/tables/table5.xml" Id="Rcdd490aed9df4470" /></Relationships>
</file>

<file path=xl/worksheets/_rels/sheet7.xml.rels>&#65279;<?xml version="1.0" encoding="utf-8"?><Relationships xmlns="http://schemas.openxmlformats.org/package/2006/relationships"><Relationship Type="http://schemas.openxmlformats.org/officeDocument/2006/relationships/table" Target="/xl/tables/table6.xml" Id="Re36b841a99ec4d74" /></Relationships>
</file>

<file path=xl/worksheets/_rels/sheet8.xml.rels>&#65279;<?xml version="1.0" encoding="utf-8"?><Relationships xmlns="http://schemas.openxmlformats.org/package/2006/relationships"><Relationship Type="http://schemas.openxmlformats.org/officeDocument/2006/relationships/table" Target="/xl/tables/table7.xml" Id="R92ff33030e9e46a3" /></Relationships>
</file>

<file path=xl/worksheets/_rels/sheet9.xml.rels>&#65279;<?xml version="1.0" encoding="utf-8"?><Relationships xmlns="http://schemas.openxmlformats.org/package/2006/relationships"><Relationship Type="http://schemas.openxmlformats.org/officeDocument/2006/relationships/table" Target="/xl/tables/table8.xml" Id="R279d84043b1b45a5" /></Relationships>
</file>

<file path=xl/worksheets/_rels/sheet10.xml.rels>&#65279;<?xml version="1.0" encoding="utf-8"?><Relationships xmlns="http://schemas.openxmlformats.org/package/2006/relationships"><Relationship Type="http://schemas.openxmlformats.org/officeDocument/2006/relationships/table" Target="/xl/tables/table9.xml" Id="R62823a230df44e90" /></Relationships>
</file>

<file path=xl/worksheets/_rels/sheet11.xml.rels>&#65279;<?xml version="1.0" encoding="utf-8"?><Relationships xmlns="http://schemas.openxmlformats.org/package/2006/relationships"><Relationship Type="http://schemas.openxmlformats.org/officeDocument/2006/relationships/table" Target="/xl/tables/table10.xml" Id="R15a4a4750dd44452" /></Relationships>
</file>

<file path=xl/worksheets/_rels/sheet12.xml.rels>&#65279;<?xml version="1.0" encoding="utf-8"?><Relationships xmlns="http://schemas.openxmlformats.org/package/2006/relationships"><Relationship Type="http://schemas.openxmlformats.org/officeDocument/2006/relationships/table" Target="/xl/tables/table11.xml" Id="R9fec52fc18444d2c" /></Relationships>
</file>

<file path=xl/worksheets/_rels/sheet13.xml.rels>&#65279;<?xml version="1.0" encoding="utf-8"?><Relationships xmlns="http://schemas.openxmlformats.org/package/2006/relationships"><Relationship Type="http://schemas.openxmlformats.org/officeDocument/2006/relationships/table" Target="/xl/tables/table12.xml" Id="R415908a7d8ac461a" /></Relationships>
</file>

<file path=xl/worksheets/_rels/sheet14.xml.rels>&#65279;<?xml version="1.0" encoding="utf-8"?><Relationships xmlns="http://schemas.openxmlformats.org/package/2006/relationships"><Relationship Type="http://schemas.openxmlformats.org/officeDocument/2006/relationships/table" Target="/xl/tables/table13.xml" Id="R1e5d33fd4c2d49fc" /></Relationships>
</file>

<file path=xl/worksheets/_rels/sheet15.xml.rels>&#65279;<?xml version="1.0" encoding="utf-8"?><Relationships xmlns="http://schemas.openxmlformats.org/package/2006/relationships"><Relationship Type="http://schemas.openxmlformats.org/officeDocument/2006/relationships/table" Target="/xl/tables/table14.xml" Id="R8ca5ffdad18346a5" /></Relationships>
</file>

<file path=xl/worksheets/_rels/sheet16.xml.rels>&#65279;<?xml version="1.0" encoding="utf-8"?><Relationships xmlns="http://schemas.openxmlformats.org/package/2006/relationships"><Relationship Type="http://schemas.openxmlformats.org/officeDocument/2006/relationships/table" Target="/xl/tables/table15.xml" Id="Re3fab684eec54bda" /></Relationships>
</file>

<file path=xl/worksheets/_rels/sheet17.xml.rels>&#65279;<?xml version="1.0" encoding="utf-8"?><Relationships xmlns="http://schemas.openxmlformats.org/package/2006/relationships"><Relationship Type="http://schemas.openxmlformats.org/officeDocument/2006/relationships/table" Target="/xl/tables/table16.xml" Id="R3bd3adabc4e943d4"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0" hidden="0" customWidth="1"/>
    <x:col min="11" max="11" width="10" hidden="0" customWidth="1"/>
    <x:col min="12" max="12" width="10" hidden="0" customWidth="1"/>
  </x:cols>
  <x:sheetData>
    <x:row r="1" ht="24" customHeight="1">
      <x:c r="A1" s="200" t="str">
        <x:v>DIVA PULSE / V36</x:v>
      </x:c>
      <x:c r="B1" s="200"/>
      <x:c r="C1" s="200"/>
      <x:c r="D1" s="200"/>
      <x:c r="E1" s="200"/>
      <x:c r="F1" s="200"/>
      <x:c r="G1" s="200"/>
      <x:c r="H1" s="200"/>
      <x:c r="I1" s="200"/>
      <x:c r="J1" s="90"/>
      <x:c r="K1" s="92"/>
      <x:c r="L1" s="92"/>
    </x:row>
    <x:row r="2" ht="24" customHeight="1">
      <x:c r="A2" s="200"/>
      <x:c r="B2" s="200"/>
      <x:c r="C2" s="200"/>
      <x:c r="D2" s="200"/>
      <x:c r="E2" s="200"/>
      <x:c r="F2" s="200"/>
      <x:c r="G2" s="200"/>
      <x:c r="H2" s="200"/>
      <x:c r="I2" s="200"/>
      <x:c r="J2" s="90"/>
      <x:c r="K2" s="92"/>
      <x:c r="L2" s="92"/>
    </x:row>
    <x:row r="3" ht="24" customHeight="1">
      <x:c r="A3" s="197" t="str">
        <x:v>Archives restaurées sans perte silencieuse et mouvement réduit étendu.
Base V35 b3d9aae • Suite de la PR #2 • Versions antérieures conservées.</x:v>
      </x:c>
      <x:c r="B3" s="197"/>
      <x:c r="C3" s="197"/>
      <x:c r="D3" s="197"/>
      <x:c r="E3" s="197"/>
      <x:c r="F3" s="197"/>
      <x:c r="G3" s="197"/>
      <x:c r="H3" s="197"/>
      <x:c r="I3" s="197"/>
      <x:c r="J3" s="93"/>
      <x:c r="K3" s="95"/>
      <x:c r="L3" s="95"/>
    </x:row>
    <x:row r="4" ht="24" customHeight="1">
      <x:c r="A4" s="197"/>
      <x:c r="B4" s="197"/>
      <x:c r="C4" s="197"/>
      <x:c r="D4" s="197"/>
      <x:c r="E4" s="197"/>
      <x:c r="F4" s="197"/>
      <x:c r="G4" s="197"/>
      <x:c r="H4" s="197"/>
      <x:c r="I4" s="197"/>
      <x:c r="J4" s="93"/>
      <x:c r="K4" s="95"/>
      <x:c r="L4" s="95"/>
    </x:row>
    <x:row r="5" ht="24" customHeight="1">
      <x:c r="A5" s="191"/>
      <x:c r="B5" s="191"/>
      <x:c r="C5" s="191"/>
      <x:c r="D5" s="191"/>
      <x:c r="E5" s="191"/>
      <x:c r="F5" s="191"/>
      <x:c r="G5" s="191"/>
      <x:c r="H5" s="191"/>
      <x:c r="I5" s="191"/>
      <x:c r="J5" s="85"/>
      <x:c r="K5" s="83"/>
      <x:c r="L5" s="83"/>
    </x:row>
    <x:row r="6" ht="24" customHeight="1">
      <x:c r="A6" s="203" t="str">
        <x:v>VALIDER AVANT RESTAURER
Les conflits d’identités et de références sont contrôlés avant écriture ; les préférences de mouvement restent explicites.</x:v>
      </x:c>
      <x:c r="B6" s="203"/>
      <x:c r="C6" s="203"/>
      <x:c r="D6" s="203"/>
      <x:c r="E6" s="203"/>
      <x:c r="F6" s="203"/>
      <x:c r="G6" s="203"/>
      <x:c r="H6" s="203"/>
      <x:c r="I6" s="203"/>
      <x:c r="J6" s="145"/>
      <x:c r="K6" s="145"/>
      <x:c r="L6" s="145"/>
    </x:row>
    <x:row r="7" ht="24" customHeight="1">
      <x:c r="A7" s="204"/>
      <x:c r="B7" s="204"/>
      <x:c r="C7" s="204"/>
      <x:c r="D7" s="203"/>
      <x:c r="E7" s="204"/>
      <x:c r="F7" s="204"/>
      <x:c r="G7" s="204"/>
      <x:c r="H7" s="203"/>
      <x:c r="I7" s="204"/>
      <x:c r="J7" s="146"/>
      <x:c r="K7" s="145"/>
      <x:c r="L7" s="145"/>
    </x:row>
    <x:row r="8" ht="24" customHeight="1">
      <x:c r="A8" s="194"/>
      <x:c r="B8" s="194"/>
      <x:c r="C8" s="194"/>
      <x:c r="D8" s="197"/>
      <x:c r="E8" s="194"/>
      <x:c r="F8" s="194"/>
      <x:c r="G8" s="194"/>
      <x:c r="H8" s="197"/>
      <x:c r="I8" s="194"/>
      <x:c r="J8" s="87"/>
      <x:c r="K8" s="83"/>
      <x:c r="L8" s="83"/>
    </x:row>
    <x:row r="9" ht="24" customHeight="1">
      <x:c r="A9" s="205" t="str">
        <x:v>POINTS SUIVIS</x:v>
      </x:c>
      <x:c r="B9" s="205"/>
      <x:c r="C9" s="205"/>
      <x:c r="D9" s="206" t="str">
        <x:v>RÉALISÉS / PÉRIMÈTRE</x:v>
      </x:c>
      <x:c r="E9" s="205"/>
      <x:c r="F9" s="205"/>
      <x:c r="G9" s="205" t="str">
        <x:v>ENCORE OUVERTS</x:v>
      </x:c>
      <x:c r="H9" s="206"/>
      <x:c r="I9" s="205"/>
      <x:c r="J9" s="87"/>
      <x:c r="K9" s="83"/>
      <x:c r="L9" s="83"/>
    </x:row>
    <x:row r="10" ht="24" customHeight="1">
      <x:c r="A10" s="211" t="n">
        <x:f>COUNTA('Manquants'!A6:A141)</x:f>
        <x:v>136</x:v>
      </x:c>
      <x:c r="B10" s="211"/>
      <x:c r="C10" s="211"/>
      <x:c r="D10" s="211" t="n">
        <x:f>COUNTIF('Manquants'!D6:D141,"Fait")</x:f>
        <x:v>50</x:v>
      </x:c>
      <x:c r="E10" s="211"/>
      <x:c r="F10" s="211"/>
      <x:c r="G10" s="211" t="n">
        <x:f>A10-D10</x:f>
        <x:v>86</x:v>
      </x:c>
      <x:c r="H10" s="211"/>
      <x:c r="I10" s="211"/>
      <x:c r="J10" s="84"/>
      <x:c r="K10" s="83"/>
      <x:c r="L10" s="83"/>
    </x:row>
    <x:row r="11" ht="24" customHeight="1">
      <x:c r="A11" s="211"/>
      <x:c r="B11" s="211"/>
      <x:c r="C11" s="211"/>
      <x:c r="D11" s="211"/>
      <x:c r="E11" s="211"/>
      <x:c r="F11" s="211"/>
      <x:c r="G11" s="211"/>
      <x:c r="H11" s="211"/>
      <x:c r="I11" s="211"/>
      <x:c r="J11" s="136"/>
      <x:c r="K11" s="137"/>
      <x:c r="L11" s="137"/>
    </x:row>
    <x:row r="12" ht="24" customHeight="1">
      <x:c r="A12" s="211"/>
      <x:c r="B12" s="211"/>
      <x:c r="C12" s="211"/>
      <x:c r="D12" s="211"/>
      <x:c r="E12" s="211"/>
      <x:c r="F12" s="211"/>
      <x:c r="G12" s="211"/>
      <x:c r="H12" s="211"/>
      <x:c r="I12" s="211"/>
      <x:c r="J12" s="136"/>
      <x:c r="K12" s="137"/>
      <x:c r="L12" s="137"/>
    </x:row>
    <x:row r="13" ht="24" customHeight="1">
      <x:c r="A13" s="194"/>
      <x:c r="B13" s="194"/>
      <x:c r="C13" s="194"/>
      <x:c r="D13" s="194"/>
      <x:c r="E13" s="194"/>
      <x:c r="F13" s="194"/>
      <x:c r="G13" s="194"/>
      <x:c r="H13" s="194"/>
      <x:c r="I13" s="194"/>
      <x:c r="J13" s="136"/>
      <x:c r="K13" s="137"/>
      <x:c r="L13" s="137"/>
    </x:row>
    <x:row r="14" ht="24" customHeight="1">
      <x:c r="A14" s="212" t="str">
        <x:v>« Fait » valide le périmètre de la ligne, pas le jeu entier. Les résultats logiciels ne qualifient ni tous les formats, ni les vidéos et animations importées, ni les appareils physiques.</x:v>
      </x:c>
      <x:c r="B14" s="212"/>
      <x:c r="C14" s="213"/>
      <x:c r="D14" s="213"/>
      <x:c r="E14" s="213"/>
      <x:c r="F14" s="213"/>
      <x:c r="G14" s="213"/>
      <x:c r="H14" s="213"/>
      <x:c r="I14" s="213"/>
      <x:c r="J14" s="84"/>
      <x:c r="K14" s="83"/>
      <x:c r="L14" s="83"/>
    </x:row>
    <x:row r="15" ht="24" customHeight="1">
      <x:c r="A15" s="213"/>
      <x:c r="B15" s="213"/>
      <x:c r="C15" s="213"/>
      <x:c r="D15" s="213"/>
      <x:c r="E15" s="213"/>
      <x:c r="F15" s="213"/>
      <x:c r="G15" s="213"/>
      <x:c r="H15" s="213"/>
      <x:c r="I15" s="213"/>
      <x:c r="J15" s="110"/>
      <x:c r="K15" s="112"/>
      <x:c r="L15" s="112"/>
    </x:row>
    <x:row r="16" ht="24" customHeight="1">
      <x:c r="A16" s="213"/>
      <x:c r="B16" s="213"/>
      <x:c r="C16" s="213"/>
      <x:c r="D16" s="213"/>
      <x:c r="E16" s="213"/>
      <x:c r="F16" s="213"/>
      <x:c r="G16" s="213"/>
      <x:c r="H16" s="213"/>
      <x:c r="I16" s="213"/>
      <x:c r="J16" s="110"/>
      <x:c r="K16" s="112"/>
      <x:c r="L16" s="112"/>
    </x:row>
    <x:row r="17" ht="24" customHeight="1">
      <x:c r="A17" s="197"/>
      <x:c r="B17" s="197"/>
      <x:c r="C17" s="197"/>
      <x:c r="D17" s="197"/>
      <x:c r="E17" s="197"/>
      <x:c r="F17" s="197"/>
      <x:c r="G17" s="197"/>
      <x:c r="H17" s="197"/>
      <x:c r="I17" s="197"/>
      <x:c r="J17" s="84"/>
      <x:c r="K17" s="83"/>
      <x:c r="L17" s="83"/>
    </x:row>
    <x:row r="18" ht="24" customHeight="1">
      <x:c r="A18" s="215" t="str">
        <x:v>STATUT / NOMBRE</x:v>
      </x:c>
      <x:c r="B18" s="215"/>
      <x:c r="C18" s="215"/>
      <x:c r="D18" s="197"/>
      <x:c r="E18" s="215" t="str">
        <x:v>PRIORITÉ / OUVERTS</x:v>
      </x:c>
      <x:c r="F18" s="215"/>
      <x:c r="G18" s="215"/>
      <x:c r="H18" s="197"/>
      <x:c r="I18" s="197"/>
      <x:c r="J18" s="84"/>
      <x:c r="K18" s="83"/>
      <x:c r="L18" s="83"/>
    </x:row>
    <x:row r="19" ht="24" customHeight="1">
      <x:c r="A19" s="191" t="str">
        <x:v>Fait</x:v>
      </x:c>
      <x:c r="B19" s="191"/>
      <x:c r="C19" s="191" t="n">
        <x:f>COUNTIF('Manquants'!D6:D141,A19)</x:f>
        <x:v>50</x:v>
      </x:c>
      <x:c r="D19" s="194"/>
      <x:c r="E19" s="191" t="str">
        <x:v>P0</x:v>
      </x:c>
      <x:c r="F19" s="191"/>
      <x:c r="G19" s="191" t="n">
        <x:f>COUNTIFS('Manquants'!C6:C141,E19,'Manquants'!D6:D141,"&lt;&gt;Fait")</x:f>
        <x:v>3</x:v>
      </x:c>
      <x:c r="H19" s="194"/>
      <x:c r="I19" s="191"/>
      <x:c r="J19" s="115"/>
      <x:c r="K19" s="116"/>
      <x:c r="L19" s="116"/>
    </x:row>
    <x:row r="20" ht="24" customHeight="1">
      <x:c r="A20" s="197" t="str">
        <x:v>Partiel</x:v>
      </x:c>
      <x:c r="B20" s="197"/>
      <x:c r="C20" s="197" t="n">
        <x:f>COUNTIF('Manquants'!D6:D141,A20)</x:f>
        <x:v>25</x:v>
      </x:c>
      <x:c r="D20" s="198"/>
      <x:c r="E20" s="197" t="str">
        <x:v>P1</x:v>
      </x:c>
      <x:c r="F20" s="197"/>
      <x:c r="G20" s="197" t="n">
        <x:f>COUNTIFS('Manquants'!C6:C141,E20,'Manquants'!D6:D141,"&lt;&gt;Fait")</x:f>
        <x:v>50</x:v>
      </x:c>
      <x:c r="H20" s="198"/>
      <x:c r="I20" s="197"/>
      <x:c r="J20" s="117"/>
      <x:c r="K20" s="118"/>
      <x:c r="L20" s="118"/>
    </x:row>
    <x:row r="21" ht="24" customHeight="1">
      <x:c r="A21" s="197" t="str">
        <x:v>À faire</x:v>
      </x:c>
      <x:c r="B21" s="197"/>
      <x:c r="C21" s="197" t="n">
        <x:f>COUNTIF('Manquants'!D6:D141,A21)</x:f>
        <x:v>36</x:v>
      </x:c>
      <x:c r="D21" s="198"/>
      <x:c r="E21" s="197" t="str">
        <x:v>P2</x:v>
      </x:c>
      <x:c r="F21" s="197"/>
      <x:c r="G21" s="197" t="n">
        <x:f>COUNTIFS('Manquants'!C6:C141,E21,'Manquants'!D6:D141,"&lt;&gt;Fait")</x:f>
        <x:v>33</x:v>
      </x:c>
      <x:c r="H21" s="198"/>
      <x:c r="I21" s="197"/>
      <x:c r="J21" s="117"/>
      <x:c r="K21" s="118"/>
      <x:c r="L21" s="118"/>
    </x:row>
    <x:row r="22" ht="24" customHeight="1">
      <x:c r="A22" s="191" t="str">
        <x:v>À valider</x:v>
      </x:c>
      <x:c r="B22" s="191"/>
      <x:c r="C22" s="191" t="n">
        <x:f>COUNTIF('Manquants'!D6:D141,A22)</x:f>
        <x:v>25</x:v>
      </x:c>
      <x:c r="D22" s="198"/>
      <x:c r="E22" s="197"/>
      <x:c r="F22" s="197"/>
      <x:c r="G22" s="197"/>
      <x:c r="H22" s="198"/>
      <x:c r="I22" s="197"/>
      <x:c r="J22" s="117"/>
      <x:c r="K22" s="118"/>
      <x:c r="L22" s="118"/>
    </x:row>
    <x:row r="23" ht="24" customHeight="1">
      <x:c r="A23" s="197" t="str">
        <x:v>Bloqué</x:v>
      </x:c>
      <x:c r="B23" s="197"/>
      <x:c r="C23" s="197" t="n">
        <x:f>COUNTIF('Manquants'!D6:D141,A23)</x:f>
        <x:v>0</x:v>
      </x:c>
      <x:c r="D23" s="198"/>
      <x:c r="E23" s="197"/>
      <x:c r="F23" s="197"/>
      <x:c r="G23" s="197"/>
      <x:c r="H23" s="198"/>
      <x:c r="I23" s="197"/>
      <x:c r="J23" s="84"/>
      <x:c r="K23" s="83"/>
      <x:c r="L23" s="83"/>
    </x:row>
    <x:row r="24" ht="24" customHeight="1">
      <x:c r="A24" s="197"/>
      <x:c r="B24" s="197"/>
      <x:c r="C24" s="197"/>
      <x:c r="D24" s="198"/>
      <x:c r="E24" s="197"/>
      <x:c r="F24" s="197"/>
      <x:c r="G24" s="197"/>
      <x:c r="H24" s="198"/>
      <x:c r="I24" s="197"/>
      <x:c r="J24" s="84"/>
      <x:c r="K24" s="83"/>
      <x:c r="L24" s="83"/>
    </x:row>
    <x:row r="25" ht="24" customHeight="1">
      <x:c r="A25" s="216" t="str">
        <x:v>Validation locale : 1 291 tests logiques, 10 contrôles lanceur et 284 contrôles navigateur, dont 98 nouveaux (76 archives + 22 mouvement). CI à recréer sur le commit publié ; modes et empreintes : qa/v36/verified.json.</x:v>
      </x:c>
      <x:c r="B25" s="216"/>
      <x:c r="C25" s="216"/>
      <x:c r="D25" s="216"/>
      <x:c r="E25" s="216"/>
      <x:c r="F25" s="216"/>
      <x:c r="G25" s="216"/>
      <x:c r="H25" s="216"/>
      <x:c r="I25" s="216"/>
      <x:c r="J25" s="84"/>
      <x:c r="K25" s="83"/>
      <x:c r="L25" s="83"/>
    </x:row>
    <x:row r="26" ht="24" customHeight="1">
      <x:c r="A26" s="216"/>
      <x:c r="B26" s="216"/>
      <x:c r="C26" s="216"/>
      <x:c r="D26" s="216"/>
      <x:c r="E26" s="216"/>
      <x:c r="F26" s="216"/>
      <x:c r="G26" s="216"/>
      <x:c r="H26" s="216"/>
      <x:c r="I26" s="216"/>
      <x:c r="J26" s="93"/>
      <x:c r="K26" s="95"/>
      <x:c r="L26" s="95"/>
    </x:row>
    <x:row r="27" ht="24" customHeight="1">
      <x:c r="A27" s="216"/>
      <x:c r="B27" s="216"/>
      <x:c r="C27" s="216"/>
      <x:c r="D27" s="216"/>
      <x:c r="E27" s="216"/>
      <x:c r="F27" s="216"/>
      <x:c r="G27" s="216"/>
      <x:c r="H27" s="216"/>
      <x:c r="I27" s="216"/>
      <x:c r="J27" s="93"/>
      <x:c r="K27" s="95"/>
      <x:c r="L27" s="95"/>
    </x:row>
    <x:row r="28" ht="24" customHeight="1">
      <x:c r="A28" s="197"/>
      <x:c r="B28" s="197"/>
      <x:c r="C28" s="197"/>
      <x:c r="D28" s="197"/>
      <x:c r="E28" s="197"/>
      <x:c r="F28" s="197"/>
      <x:c r="G28" s="197"/>
      <x:c r="H28" s="197"/>
      <x:c r="I28" s="197"/>
      <x:c r="J28" s="84"/>
      <x:c r="K28" s="83"/>
      <x:c r="L28" s="83"/>
    </x:row>
    <x:row r="29" ht="24" customHeight="1">
      <x:c r="A29" s="197" t="str">
        <x:v>SUITE : SAV-08, autres formats, vidéos et animations source, root motion, squelettes, corpus MMD et qualification sur appareils réels.</x:v>
      </x:c>
      <x:c r="B29" s="197"/>
      <x:c r="C29" s="197"/>
      <x:c r="D29" s="197"/>
      <x:c r="E29" s="197"/>
      <x:c r="F29" s="197"/>
      <x:c r="G29" s="197"/>
      <x:c r="H29" s="197"/>
      <x:c r="I29" s="197"/>
      <x:c r="J29" s="110"/>
      <x:c r="K29" s="112"/>
      <x:c r="L29" s="112"/>
    </x:row>
    <x:row r="30" ht="24" customHeight="1">
      <x:c r="A30" s="197"/>
      <x:c r="B30" s="197"/>
      <x:c r="C30" s="197"/>
      <x:c r="D30" s="197"/>
      <x:c r="E30" s="197"/>
      <x:c r="F30" s="197"/>
      <x:c r="G30" s="197"/>
      <x:c r="H30" s="197"/>
      <x:c r="I30" s="197"/>
      <x:c r="J30" s="110"/>
      <x:c r="K30" s="112"/>
      <x:c r="L30" s="112"/>
    </x:row>
    <x:row r="31" ht="24" customHeight="1">
      <x:c r="A31" s="197"/>
      <x:c r="B31" s="197"/>
      <x:c r="C31" s="197"/>
      <x:c r="D31" s="197"/>
      <x:c r="E31" s="197"/>
      <x:c r="F31" s="197"/>
      <x:c r="G31" s="197"/>
      <x:c r="H31" s="197"/>
      <x:c r="I31" s="197"/>
      <x:c r="J31" s="84"/>
      <x:c r="K31" s="83"/>
      <x:c r="L31" s="83"/>
    </x:row>
    <x:row r="32" ht="24" customHeight="1">
      <x:c r="A32" s="197" t="str">
        <x:v>PR : https://github.com/darknigthmare/Diva-Pulse/pull/2
Preuve V36 : qa/v36/verified.json ; fichier V35 et onglets V30–V34 historiques conservés.
Director : schémas 19/20 inchangés.</x:v>
      </x:c>
      <x:c r="B32" s="197"/>
      <x:c r="C32" s="197"/>
      <x:c r="D32" s="197"/>
      <x:c r="E32" s="197"/>
      <x:c r="F32" s="197"/>
      <x:c r="G32" s="197"/>
      <x:c r="H32" s="197"/>
      <x:c r="I32" s="197"/>
      <x:c r="J32" s="117"/>
      <x:c r="K32" s="119"/>
      <x:c r="L32" s="119"/>
    </x:row>
    <x:row r="33" ht="24" customHeight="1">
      <x:c r="A33" s="197"/>
      <x:c r="B33" s="197"/>
      <x:c r="C33" s="197"/>
      <x:c r="D33" s="197"/>
      <x:c r="E33" s="197"/>
      <x:c r="F33" s="197"/>
      <x:c r="G33" s="197"/>
      <x:c r="H33" s="197"/>
      <x:c r="I33" s="197"/>
      <x:c r="J33" s="117"/>
      <x:c r="K33" s="119"/>
      <x:c r="L33" s="119"/>
    </x:row>
    <x:row r="34" ht="24" customHeight="1">
      <x:c r="A34" s="197"/>
      <x:c r="B34" s="197"/>
      <x:c r="C34" s="197"/>
      <x:c r="D34" s="197"/>
      <x:c r="E34" s="197"/>
      <x:c r="F34" s="197"/>
      <x:c r="G34" s="197"/>
      <x:c r="H34" s="197"/>
      <x:c r="I34" s="197"/>
      <x:c r="J34" s="84"/>
      <x:c r="K34" s="83"/>
      <x:c r="L34" s="83"/>
    </x:row>
    <x:row r="35" ht="24" customHeight="1">
      <x:c r="A35" s="217" t="str">
        <x:f>IF(SUM(C19:C23)=A10,"CONTRÔLE : tous les points sont comptés.","ERREUR : vérifier les statuts.")</x:f>
        <x:v>CONTRÔLE : tous les points sont comptés.</x:v>
      </x:c>
      <x:c r="B35" s="217"/>
      <x:c r="C35" s="217"/>
      <x:c r="D35" s="217"/>
      <x:c r="E35" s="217"/>
      <x:c r="F35" s="217"/>
      <x:c r="G35" s="217"/>
      <x:c r="H35" s="217"/>
      <x:c r="I35" s="217"/>
      <x:c r="J35" s="123"/>
      <x:c r="K35" s="124"/>
      <x:c r="L35" s="124"/>
    </x:row>
    <x:row r="36" ht="22" customHeight="1">
      <x:c r="A36" s="123"/>
      <x:c r="B36" s="123"/>
      <x:c r="C36" s="123"/>
      <x:c r="D36" s="123"/>
      <x:c r="E36" s="123"/>
      <x:c r="F36" s="123"/>
      <x:c r="G36" s="123"/>
      <x:c r="H36" s="123"/>
      <x:c r="I36" s="123"/>
      <x:c r="J36" s="123"/>
      <x:c r="K36" s="124"/>
      <x:c r="L36" s="124"/>
    </x:row>
    <x:row r="37" ht="24" customHeight="1">
      <x:c r="A37" s="10"/>
      <x:c r="B37" s="10"/>
      <x:c r="C37" s="10"/>
      <x:c r="D37" s="10"/>
      <x:c r="E37" s="10"/>
      <x:c r="F37" s="10"/>
      <x:c r="G37" s="10"/>
      <x:c r="H37" s="10"/>
      <x:c r="I37" s="10"/>
      <x:c r="J37" s="10"/>
    </x:row>
    <x:row r="38" ht="24" customHeight="1">
      <x:c r="A38" s="10"/>
      <x:c r="B38" s="10"/>
      <x:c r="C38" s="10"/>
      <x:c r="D38" s="10"/>
      <x:c r="E38" s="10"/>
      <x:c r="F38" s="10"/>
      <x:c r="G38" s="10"/>
      <x:c r="H38" s="10"/>
      <x:c r="I38" s="10"/>
      <x:c r="J38" s="10"/>
    </x:row>
    <x:row r="39" ht="24" customHeight="1">
      <x:c r="A39" s="10"/>
      <x:c r="B39" s="10"/>
      <x:c r="C39" s="10"/>
      <x:c r="D39" s="10"/>
      <x:c r="E39" s="10"/>
      <x:c r="F39" s="10"/>
      <x:c r="G39" s="10"/>
      <x:c r="H39" s="10"/>
      <x:c r="I39" s="10"/>
      <x:c r="J39" s="10"/>
    </x:row>
    <x:row r="40" ht="24" customHeight="1">
      <x:c r="A40" s="10"/>
      <x:c r="B40" s="10"/>
      <x:c r="C40" s="10"/>
      <x:c r="D40" s="10"/>
      <x:c r="E40" s="10"/>
      <x:c r="F40" s="10"/>
      <x:c r="G40" s="10"/>
      <x:c r="H40" s="10"/>
      <x:c r="I40" s="10"/>
      <x:c r="J40" s="10"/>
    </x:row>
    <x:row r="41" ht="24" customHeight="1">
      <x:c r="A41" s="10"/>
      <x:c r="B41" s="10"/>
      <x:c r="C41" s="10"/>
      <x:c r="D41" s="10"/>
      <x:c r="E41" s="10"/>
      <x:c r="F41" s="10"/>
      <x:c r="G41" s="10"/>
      <x:c r="H41" s="10"/>
      <x:c r="I41" s="10"/>
      <x:c r="J41" s="10"/>
    </x:row>
    <x:row r="42" ht="24" customHeight="1">
      <x:c r="A42" s="10"/>
      <x:c r="B42" s="10"/>
      <x:c r="C42" s="10"/>
      <x:c r="D42" s="10"/>
      <x:c r="E42" s="10"/>
      <x:c r="F42" s="10"/>
      <x:c r="G42" s="10"/>
      <x:c r="H42" s="10"/>
      <x:c r="I42" s="10"/>
      <x:c r="J42" s="10"/>
    </x:row>
    <x:row r="43" ht="24" customHeight="1">
      <x:c r="A43" s="10"/>
      <x:c r="B43" s="10"/>
      <x:c r="C43" s="10"/>
      <x:c r="D43" s="10"/>
      <x:c r="E43" s="10"/>
      <x:c r="F43" s="10"/>
      <x:c r="G43" s="10"/>
      <x:c r="H43" s="10"/>
      <x:c r="I43" s="10"/>
      <x:c r="J43" s="10"/>
    </x:row>
    <x:row r="44" ht="24" customHeight="1">
      <x:c r="A44" s="10"/>
      <x:c r="B44" s="10"/>
      <x:c r="C44" s="10"/>
      <x:c r="D44" s="10"/>
      <x:c r="E44" s="10"/>
      <x:c r="F44" s="10"/>
      <x:c r="G44" s="10"/>
      <x:c r="H44" s="10"/>
      <x:c r="I44" s="10"/>
      <x:c r="J44" s="10"/>
    </x:row>
    <x:row r="45" ht="24" customHeight="1">
      <x:c r="A45" s="10"/>
      <x:c r="B45" s="10"/>
      <x:c r="C45" s="10"/>
      <x:c r="D45" s="10"/>
      <x:c r="E45" s="10"/>
      <x:c r="F45" s="10"/>
      <x:c r="G45" s="10"/>
      <x:c r="H45" s="10"/>
      <x:c r="I45" s="10"/>
      <x:c r="J45" s="10"/>
    </x:row>
    <x:row r="46" ht="24" customHeight="1">
      <x:c r="A46" s="10"/>
      <x:c r="B46" s="10"/>
      <x:c r="C46" s="10"/>
      <x:c r="D46" s="10"/>
      <x:c r="E46" s="10"/>
      <x:c r="F46" s="10"/>
      <x:c r="G46" s="10"/>
      <x:c r="H46" s="10"/>
      <x:c r="I46" s="10"/>
      <x:c r="J46" s="10"/>
    </x:row>
    <x:row r="47" ht="24" customHeight="1">
      <x:c r="A47" s="10"/>
      <x:c r="B47" s="10"/>
      <x:c r="C47" s="10"/>
      <x:c r="D47" s="10"/>
      <x:c r="E47" s="10"/>
      <x:c r="F47" s="10"/>
      <x:c r="G47" s="10"/>
      <x:c r="H47" s="10"/>
      <x:c r="I47" s="10"/>
      <x:c r="J47" s="10"/>
    </x:row>
    <x:row r="48" ht="24" customHeight="1">
      <x:c r="A48" s="10"/>
      <x:c r="B48" s="10"/>
      <x:c r="C48" s="10"/>
      <x:c r="D48" s="10"/>
      <x:c r="E48" s="10"/>
      <x:c r="F48" s="10"/>
      <x:c r="G48" s="10"/>
      <x:c r="H48" s="10"/>
      <x:c r="I48" s="10"/>
      <x:c r="J48" s="10"/>
    </x:row>
    <x:row r="49" ht="24" customHeight="1">
      <x:c r="A49" s="10"/>
      <x:c r="B49" s="10"/>
      <x:c r="C49" s="10"/>
      <x:c r="D49" s="10"/>
      <x:c r="E49" s="10"/>
      <x:c r="F49" s="10"/>
      <x:c r="G49" s="10"/>
      <x:c r="H49" s="10"/>
      <x:c r="I49" s="10"/>
      <x:c r="J49" s="10"/>
    </x:row>
    <x:row r="50" ht="24" customHeight="1">
      <x:c r="A50" s="10"/>
      <x:c r="B50" s="10"/>
      <x:c r="C50" s="10"/>
      <x:c r="D50" s="10"/>
      <x:c r="E50" s="10"/>
      <x:c r="F50" s="10"/>
      <x:c r="G50" s="10"/>
      <x:c r="H50" s="10"/>
      <x:c r="I50" s="10"/>
      <x:c r="J50" s="10"/>
    </x:row>
    <x:row r="51" ht="24" customHeight="1">
      <x:c r="A51" s="10"/>
      <x:c r="B51" s="10"/>
      <x:c r="C51" s="10"/>
      <x:c r="D51" s="10"/>
      <x:c r="E51" s="10"/>
      <x:c r="F51" s="10"/>
      <x:c r="G51" s="10"/>
      <x:c r="H51" s="10"/>
      <x:c r="I51" s="10"/>
      <x:c r="J51" s="10"/>
    </x:row>
    <x:row r="52" ht="24" customHeight="1">
      <x:c r="A52" s="10"/>
      <x:c r="B52" s="10"/>
      <x:c r="C52" s="10"/>
      <x:c r="D52" s="10"/>
      <x:c r="E52" s="10"/>
      <x:c r="F52" s="10"/>
      <x:c r="G52" s="10"/>
      <x:c r="H52" s="10"/>
      <x:c r="I52" s="10"/>
      <x:c r="J52" s="10"/>
    </x:row>
    <x:row r="53" ht="24" customHeight="1">
      <x:c r="A53" s="10"/>
      <x:c r="B53" s="10"/>
      <x:c r="C53" s="10"/>
      <x:c r="D53" s="10"/>
      <x:c r="E53" s="10"/>
      <x:c r="F53" s="10"/>
      <x:c r="G53" s="10"/>
      <x:c r="H53" s="10"/>
      <x:c r="I53" s="10"/>
      <x:c r="J53" s="10"/>
    </x:row>
    <x:row r="54" ht="24" customHeight="1">
      <x:c r="A54" s="10"/>
      <x:c r="B54" s="10"/>
      <x:c r="C54" s="10"/>
      <x:c r="D54" s="10"/>
      <x:c r="E54" s="10"/>
      <x:c r="F54" s="10"/>
      <x:c r="G54" s="10"/>
      <x:c r="H54" s="10"/>
      <x:c r="I54" s="10"/>
      <x:c r="J54" s="10"/>
    </x:row>
    <x:row r="55" ht="24" customHeight="1">
      <x:c r="A55" s="10"/>
      <x:c r="B55" s="10"/>
      <x:c r="C55" s="10"/>
      <x:c r="D55" s="10"/>
      <x:c r="E55" s="10"/>
      <x:c r="F55" s="10"/>
      <x:c r="G55" s="10"/>
      <x:c r="H55" s="10"/>
      <x:c r="I55" s="10"/>
      <x:c r="J55" s="10"/>
    </x:row>
    <x:row r="56" ht="24" customHeight="1">
      <x:c r="A56" s="10"/>
      <x:c r="B56" s="10"/>
      <x:c r="C56" s="10"/>
      <x:c r="D56" s="10"/>
      <x:c r="E56" s="10"/>
      <x:c r="F56" s="10"/>
      <x:c r="G56" s="10"/>
      <x:c r="H56" s="10"/>
      <x:c r="I56" s="10"/>
      <x:c r="J56" s="10"/>
    </x:row>
    <x:row r="57" ht="24" customHeight="1">
      <x:c r="A57" s="10"/>
      <x:c r="B57" s="10"/>
      <x:c r="C57" s="10"/>
      <x:c r="D57" s="10"/>
      <x:c r="E57" s="10"/>
      <x:c r="F57" s="10"/>
      <x:c r="G57" s="10"/>
      <x:c r="H57" s="10"/>
      <x:c r="I57" s="10"/>
      <x:c r="J57" s="10"/>
    </x:row>
    <x:row r="58" ht="24" customHeight="1">
      <x:c r="A58" s="10"/>
      <x:c r="B58" s="10"/>
      <x:c r="C58" s="10"/>
      <x:c r="D58" s="10"/>
      <x:c r="E58" s="10"/>
      <x:c r="F58" s="10"/>
      <x:c r="G58" s="10"/>
      <x:c r="H58" s="10"/>
      <x:c r="I58" s="10"/>
      <x:c r="J58" s="10"/>
    </x:row>
    <x:row r="59" ht="24" customHeight="1">
      <x:c r="A59" s="10"/>
      <x:c r="B59" s="10"/>
      <x:c r="C59" s="10"/>
      <x:c r="D59" s="10"/>
      <x:c r="E59" s="10"/>
      <x:c r="F59" s="10"/>
      <x:c r="G59" s="10"/>
      <x:c r="H59" s="10"/>
      <x:c r="I59" s="10"/>
      <x:c r="J59" s="10"/>
    </x:row>
    <x:row r="60" ht="24" customHeight="1">
      <x:c r="A60" s="10"/>
      <x:c r="B60" s="10"/>
      <x:c r="C60" s="10"/>
      <x:c r="D60" s="10"/>
      <x:c r="E60" s="10"/>
      <x:c r="F60" s="10"/>
      <x:c r="G60" s="10"/>
      <x:c r="H60" s="10"/>
      <x:c r="I60" s="10"/>
      <x:c r="J60" s="10"/>
    </x:row>
    <x:row r="61" ht="24" customHeight="1">
      <x:c r="A61" s="10"/>
      <x:c r="B61" s="10"/>
      <x:c r="C61" s="10"/>
      <x:c r="D61" s="10"/>
      <x:c r="E61" s="10"/>
      <x:c r="F61" s="10"/>
      <x:c r="G61" s="10"/>
      <x:c r="H61" s="10"/>
      <x:c r="I61" s="10"/>
      <x:c r="J61" s="10"/>
    </x:row>
    <x:row r="62" ht="24" customHeight="1">
      <x:c r="A62" s="10"/>
      <x:c r="B62" s="10"/>
      <x:c r="C62" s="10"/>
      <x:c r="D62" s="10"/>
      <x:c r="E62" s="10"/>
      <x:c r="F62" s="10"/>
      <x:c r="G62" s="10"/>
      <x:c r="H62" s="10"/>
      <x:c r="I62" s="10"/>
      <x:c r="J62" s="10"/>
    </x:row>
    <x:row r="63" ht="24" customHeight="1">
      <x:c r="A63" s="10"/>
      <x:c r="B63" s="10"/>
      <x:c r="C63" s="10"/>
      <x:c r="D63" s="10"/>
      <x:c r="E63" s="10"/>
      <x:c r="F63" s="10"/>
      <x:c r="G63" s="10"/>
      <x:c r="H63" s="10"/>
      <x:c r="I63" s="10"/>
      <x:c r="J63" s="10"/>
    </x:row>
    <x:row r="64" ht="24" customHeight="1">
      <x:c r="A64" s="10"/>
      <x:c r="B64" s="10"/>
      <x:c r="C64" s="10"/>
      <x:c r="D64" s="10"/>
      <x:c r="E64" s="10"/>
      <x:c r="F64" s="10"/>
      <x:c r="G64" s="10"/>
      <x:c r="H64" s="10"/>
      <x:c r="I64" s="10"/>
      <x:c r="J64" s="10"/>
    </x:row>
    <x:row r="65" ht="24" customHeight="1">
      <x:c r="A65" s="10"/>
      <x:c r="B65" s="10"/>
      <x:c r="C65" s="10"/>
      <x:c r="D65" s="10"/>
      <x:c r="E65" s="10"/>
      <x:c r="F65" s="10"/>
      <x:c r="G65" s="10"/>
      <x:c r="H65" s="10"/>
      <x:c r="I65" s="10"/>
      <x:c r="J65" s="10"/>
    </x:row>
    <x:row r="66" ht="24" customHeight="1">
      <x:c r="A66" s="10"/>
      <x:c r="B66" s="10"/>
      <x:c r="C66" s="10"/>
      <x:c r="D66" s="10"/>
      <x:c r="E66" s="10"/>
      <x:c r="F66" s="10"/>
      <x:c r="G66" s="10"/>
      <x:c r="H66" s="10"/>
      <x:c r="I66" s="10"/>
      <x:c r="J66" s="10"/>
    </x:row>
    <x:row r="67" ht="24" customHeight="1">
      <x:c r="A67" s="10"/>
      <x:c r="B67" s="10"/>
      <x:c r="C67" s="10"/>
      <x:c r="D67" s="10"/>
      <x:c r="E67" s="10"/>
      <x:c r="F67" s="10"/>
      <x:c r="G67" s="10"/>
      <x:c r="H67" s="10"/>
      <x:c r="I67" s="10"/>
      <x:c r="J67" s="10"/>
    </x:row>
    <x:row r="68" ht="24" customHeight="1">
      <x:c r="A68" s="10"/>
      <x:c r="B68" s="10"/>
      <x:c r="C68" s="10"/>
      <x:c r="D68" s="10"/>
      <x:c r="E68" s="10"/>
      <x:c r="F68" s="10"/>
      <x:c r="G68" s="10"/>
      <x:c r="H68" s="10"/>
      <x:c r="I68" s="10"/>
      <x:c r="J68" s="10"/>
    </x:row>
    <x:row r="69" ht="24" customHeight="1">
      <x:c r="A69" s="10"/>
      <x:c r="B69" s="10"/>
      <x:c r="C69" s="10"/>
      <x:c r="D69" s="10"/>
      <x:c r="E69" s="10"/>
      <x:c r="F69" s="10"/>
      <x:c r="G69" s="10"/>
      <x:c r="H69" s="10"/>
      <x:c r="I69" s="10"/>
      <x:c r="J69" s="10"/>
    </x:row>
    <x:row r="70" ht="24" customHeight="1">
      <x:c r="A70" s="10"/>
      <x:c r="B70" s="10"/>
      <x:c r="C70" s="10"/>
      <x:c r="D70" s="10"/>
      <x:c r="E70" s="10"/>
      <x:c r="F70" s="10"/>
      <x:c r="G70" s="10"/>
      <x:c r="H70" s="10"/>
      <x:c r="I70" s="10"/>
      <x:c r="J70" s="10"/>
    </x:row>
    <x:row r="71" ht="24" customHeight="1">
      <x:c r="A71" s="10"/>
      <x:c r="B71" s="10"/>
      <x:c r="C71" s="10"/>
      <x:c r="D71" s="10"/>
      <x:c r="E71" s="10"/>
      <x:c r="F71" s="10"/>
      <x:c r="G71" s="10"/>
      <x:c r="H71" s="10"/>
      <x:c r="I71" s="10"/>
      <x:c r="J71" s="10"/>
    </x:row>
    <x:row r="72" ht="24" customHeight="1">
      <x:c r="A72" s="10"/>
      <x:c r="B72" s="10"/>
      <x:c r="C72" s="10"/>
      <x:c r="D72" s="10"/>
      <x:c r="E72" s="10"/>
      <x:c r="F72" s="10"/>
      <x:c r="G72" s="10"/>
      <x:c r="H72" s="10"/>
      <x:c r="I72" s="10"/>
      <x:c r="J72" s="10"/>
    </x:row>
    <x:row r="73" ht="24" customHeight="1">
      <x:c r="A73" s="10"/>
      <x:c r="B73" s="10"/>
      <x:c r="C73" s="10"/>
      <x:c r="D73" s="10"/>
      <x:c r="E73" s="10"/>
      <x:c r="F73" s="10"/>
      <x:c r="G73" s="10"/>
      <x:c r="H73" s="10"/>
      <x:c r="I73" s="10"/>
      <x:c r="J73" s="10"/>
    </x:row>
    <x:row r="74" ht="24" customHeight="1">
      <x:c r="A74" s="10"/>
      <x:c r="B74" s="10"/>
      <x:c r="C74" s="10"/>
      <x:c r="D74" s="10"/>
      <x:c r="E74" s="10"/>
      <x:c r="F74" s="10"/>
      <x:c r="G74" s="10"/>
      <x:c r="H74" s="10"/>
      <x:c r="I74" s="10"/>
      <x:c r="J74" s="10"/>
    </x:row>
    <x:row r="75" ht="24" customHeight="1">
      <x:c r="A75" s="10"/>
      <x:c r="B75" s="10"/>
      <x:c r="C75" s="10"/>
      <x:c r="D75" s="10"/>
      <x:c r="E75" s="10"/>
      <x:c r="F75" s="10"/>
      <x:c r="G75" s="10"/>
      <x:c r="H75" s="10"/>
      <x:c r="I75" s="10"/>
      <x:c r="J75" s="10"/>
    </x:row>
    <x:row r="76" ht="24" customHeight="1">
      <x:c r="A76" s="10"/>
      <x:c r="B76" s="10"/>
      <x:c r="C76" s="10"/>
      <x:c r="D76" s="10"/>
      <x:c r="E76" s="10"/>
      <x:c r="F76" s="10"/>
      <x:c r="G76" s="10"/>
      <x:c r="H76" s="10"/>
      <x:c r="I76" s="10"/>
      <x:c r="J76" s="10"/>
    </x:row>
    <x:row r="77" ht="24" customHeight="1">
      <x:c r="A77" s="10"/>
      <x:c r="B77" s="10"/>
      <x:c r="C77" s="10"/>
      <x:c r="D77" s="10"/>
      <x:c r="E77" s="10"/>
      <x:c r="F77" s="10"/>
      <x:c r="G77" s="10"/>
      <x:c r="H77" s="10"/>
      <x:c r="I77" s="10"/>
      <x:c r="J77" s="10"/>
    </x:row>
    <x:row r="78" ht="24" customHeight="1">
      <x:c r="A78" s="10"/>
      <x:c r="B78" s="10"/>
      <x:c r="C78" s="10"/>
      <x:c r="D78" s="10"/>
      <x:c r="E78" s="10"/>
      <x:c r="F78" s="10"/>
      <x:c r="G78" s="10"/>
      <x:c r="H78" s="10"/>
      <x:c r="I78" s="10"/>
      <x:c r="J78" s="10"/>
    </x:row>
    <x:row r="79" ht="24" customHeight="1">
      <x:c r="A79" s="10"/>
      <x:c r="B79" s="10"/>
      <x:c r="C79" s="10"/>
      <x:c r="D79" s="10"/>
      <x:c r="E79" s="10"/>
      <x:c r="F79" s="10"/>
      <x:c r="G79" s="10"/>
      <x:c r="H79" s="10"/>
      <x:c r="I79" s="10"/>
      <x:c r="J79" s="10"/>
    </x:row>
    <x:row r="80" ht="24" customHeight="1">
      <x:c r="A80" s="10"/>
      <x:c r="B80" s="10"/>
      <x:c r="C80" s="10"/>
      <x:c r="D80" s="10"/>
      <x:c r="E80" s="10"/>
      <x:c r="F80" s="10"/>
      <x:c r="G80" s="10"/>
      <x:c r="H80" s="10"/>
      <x:c r="I80" s="10"/>
      <x:c r="J80" s="10"/>
    </x:row>
    <x:row r="81" ht="24" customHeight="1">
      <x:c r="A81" s="10"/>
      <x:c r="B81" s="10"/>
      <x:c r="C81" s="10"/>
      <x:c r="D81" s="10"/>
      <x:c r="E81" s="10"/>
      <x:c r="F81" s="10"/>
      <x:c r="G81" s="10"/>
      <x:c r="H81" s="10"/>
      <x:c r="I81" s="10"/>
      <x:c r="J81" s="10"/>
    </x:row>
    <x:row r="82" ht="24" customHeight="1">
      <x:c r="A82" s="10"/>
      <x:c r="B82" s="10"/>
      <x:c r="C82" s="10"/>
      <x:c r="D82" s="10"/>
      <x:c r="E82" s="10"/>
      <x:c r="F82" s="10"/>
      <x:c r="G82" s="10"/>
      <x:c r="H82" s="10"/>
      <x:c r="I82" s="10"/>
      <x:c r="J82" s="10"/>
    </x:row>
    <x:row r="83" ht="24" customHeight="1">
      <x:c r="A83" s="10"/>
      <x:c r="B83" s="10"/>
      <x:c r="C83" s="10"/>
      <x:c r="D83" s="10"/>
      <x:c r="E83" s="10"/>
      <x:c r="F83" s="10"/>
      <x:c r="G83" s="10"/>
      <x:c r="H83" s="10"/>
      <x:c r="I83" s="10"/>
      <x:c r="J83" s="10"/>
    </x:row>
    <x:row r="84" ht="24" customHeight="1">
      <x:c r="A84" s="10"/>
      <x:c r="B84" s="10"/>
      <x:c r="C84" s="10"/>
      <x:c r="D84" s="10"/>
      <x:c r="E84" s="10"/>
      <x:c r="F84" s="10"/>
      <x:c r="G84" s="10"/>
      <x:c r="H84" s="10"/>
      <x:c r="I84" s="10"/>
      <x:c r="J84" s="10"/>
    </x:row>
    <x:row r="85" ht="24" customHeight="1">
      <x:c r="A85" s="10"/>
      <x:c r="B85" s="10"/>
      <x:c r="C85" s="10"/>
      <x:c r="D85" s="10"/>
      <x:c r="E85" s="10"/>
      <x:c r="F85" s="10"/>
      <x:c r="G85" s="10"/>
      <x:c r="H85" s="10"/>
      <x:c r="I85" s="10"/>
      <x:c r="J85" s="10"/>
    </x:row>
    <x:row r="86" ht="24" customHeight="1">
      <x:c r="A86" s="10"/>
      <x:c r="B86" s="10"/>
      <x:c r="C86" s="10"/>
      <x:c r="D86" s="10"/>
      <x:c r="E86" s="10"/>
      <x:c r="F86" s="10"/>
      <x:c r="G86" s="10"/>
      <x:c r="H86" s="10"/>
      <x:c r="I86" s="10"/>
      <x:c r="J86" s="10"/>
    </x:row>
    <x:row r="87" ht="24" customHeight="1">
      <x:c r="A87" s="10"/>
      <x:c r="B87" s="10"/>
      <x:c r="C87" s="10"/>
      <x:c r="D87" s="10"/>
      <x:c r="E87" s="10"/>
      <x:c r="F87" s="10"/>
      <x:c r="G87" s="10"/>
      <x:c r="H87" s="10"/>
      <x:c r="I87" s="10"/>
      <x:c r="J87" s="10"/>
    </x:row>
    <x:row r="88" ht="24" customHeight="1">
      <x:c r="A88" s="10"/>
      <x:c r="B88" s="10"/>
      <x:c r="C88" s="10"/>
      <x:c r="D88" s="10"/>
      <x:c r="E88" s="10"/>
      <x:c r="F88" s="10"/>
      <x:c r="G88" s="10"/>
      <x:c r="H88" s="10"/>
      <x:c r="I88" s="10"/>
      <x:c r="J88" s="10"/>
    </x:row>
    <x:row r="89" ht="24" customHeight="1">
      <x:c r="A89" s="10"/>
      <x:c r="B89" s="10"/>
      <x:c r="C89" s="10"/>
      <x:c r="D89" s="10"/>
      <x:c r="E89" s="10"/>
      <x:c r="F89" s="10"/>
      <x:c r="G89" s="10"/>
      <x:c r="H89" s="10"/>
      <x:c r="I89" s="10"/>
      <x:c r="J89" s="10"/>
    </x:row>
    <x:row r="90" ht="24" customHeight="1">
      <x:c r="A90" s="10"/>
      <x:c r="B90" s="10"/>
      <x:c r="C90" s="10"/>
      <x:c r="D90" s="10"/>
      <x:c r="E90" s="10"/>
      <x:c r="F90" s="10"/>
      <x:c r="G90" s="10"/>
      <x:c r="H90" s="10"/>
      <x:c r="I90" s="10"/>
      <x:c r="J90" s="10"/>
    </x:row>
    <x:row r="91" ht="24" customHeight="1">
      <x:c r="A91" s="10"/>
      <x:c r="B91" s="10"/>
      <x:c r="C91" s="10"/>
      <x:c r="D91" s="10"/>
      <x:c r="E91" s="10"/>
      <x:c r="F91" s="10"/>
      <x:c r="G91" s="10"/>
      <x:c r="H91" s="10"/>
      <x:c r="I91" s="10"/>
      <x:c r="J91" s="10"/>
    </x:row>
    <x:row r="92" ht="24" customHeight="1">
      <x:c r="A92" s="10"/>
      <x:c r="B92" s="10"/>
      <x:c r="C92" s="10"/>
      <x:c r="D92" s="10"/>
      <x:c r="E92" s="10"/>
      <x:c r="F92" s="10"/>
      <x:c r="G92" s="10"/>
      <x:c r="H92" s="10"/>
      <x:c r="I92" s="10"/>
      <x:c r="J92" s="10"/>
    </x:row>
    <x:row r="93" ht="24" customHeight="1">
      <x:c r="A93" s="10"/>
      <x:c r="B93" s="10"/>
      <x:c r="C93" s="10"/>
      <x:c r="D93" s="10"/>
      <x:c r="E93" s="10"/>
      <x:c r="F93" s="10"/>
      <x:c r="G93" s="10"/>
      <x:c r="H93" s="10"/>
      <x:c r="I93" s="10"/>
      <x:c r="J93" s="10"/>
    </x:row>
    <x:row r="94" ht="24" customHeight="1">
      <x:c r="A94" s="10"/>
      <x:c r="B94" s="10"/>
      <x:c r="C94" s="10"/>
      <x:c r="D94" s="10"/>
      <x:c r="E94" s="10"/>
      <x:c r="F94" s="10"/>
      <x:c r="G94" s="10"/>
      <x:c r="H94" s="10"/>
      <x:c r="I94" s="10"/>
      <x:c r="J94" s="10"/>
    </x:row>
    <x:row r="95" ht="24" customHeight="1">
      <x:c r="A95" s="10"/>
      <x:c r="B95" s="10"/>
      <x:c r="C95" s="10"/>
      <x:c r="D95" s="10"/>
      <x:c r="E95" s="10"/>
      <x:c r="F95" s="10"/>
      <x:c r="G95" s="10"/>
      <x:c r="H95" s="10"/>
      <x:c r="I95" s="10"/>
      <x:c r="J95" s="10"/>
    </x:row>
    <x:row r="96" ht="24" customHeight="1">
      <x:c r="A96" s="10"/>
      <x:c r="B96" s="10"/>
      <x:c r="C96" s="10"/>
      <x:c r="D96" s="10"/>
      <x:c r="E96" s="10"/>
      <x:c r="F96" s="10"/>
      <x:c r="G96" s="10"/>
      <x:c r="H96" s="10"/>
      <x:c r="I96" s="10"/>
      <x:c r="J96" s="10"/>
    </x:row>
    <x:row r="97" ht="24" customHeight="1">
      <x:c r="A97" s="10"/>
      <x:c r="B97" s="10"/>
      <x:c r="C97" s="10"/>
      <x:c r="D97" s="10"/>
      <x:c r="E97" s="10"/>
      <x:c r="F97" s="10"/>
      <x:c r="G97" s="10"/>
      <x:c r="H97" s="10"/>
      <x:c r="I97" s="10"/>
      <x:c r="J97" s="10"/>
    </x:row>
    <x:row r="98" ht="24" customHeight="1">
      <x:c r="A98" s="10"/>
      <x:c r="B98" s="10"/>
      <x:c r="C98" s="10"/>
      <x:c r="D98" s="10"/>
      <x:c r="E98" s="10"/>
      <x:c r="F98" s="10"/>
      <x:c r="G98" s="10"/>
      <x:c r="H98" s="10"/>
      <x:c r="I98" s="10"/>
      <x:c r="J98" s="10"/>
    </x:row>
    <x:row r="99" ht="24" customHeight="1">
      <x:c r="A99" s="10"/>
      <x:c r="B99" s="10"/>
      <x:c r="C99" s="10"/>
      <x:c r="D99" s="10"/>
      <x:c r="E99" s="10"/>
      <x:c r="F99" s="10"/>
      <x:c r="G99" s="10"/>
      <x:c r="H99" s="10"/>
      <x:c r="I99" s="10"/>
      <x:c r="J99" s="10"/>
    </x:row>
    <x:row r="100" ht="24" customHeight="1">
      <x:c r="A100" s="10"/>
      <x:c r="B100" s="10"/>
      <x:c r="C100" s="10"/>
      <x:c r="D100" s="10"/>
      <x:c r="E100" s="10"/>
      <x:c r="F100" s="10"/>
      <x:c r="G100" s="10"/>
      <x:c r="H100" s="10"/>
      <x:c r="I100" s="10"/>
      <x:c r="J100" s="10"/>
    </x:row>
    <x:row r="101" ht="24" customHeight="1">
      <x:c r="A101" s="10"/>
      <x:c r="B101" s="10"/>
      <x:c r="C101" s="10"/>
      <x:c r="D101" s="10"/>
      <x:c r="E101" s="10"/>
      <x:c r="F101" s="10"/>
      <x:c r="G101" s="10"/>
      <x:c r="H101" s="10"/>
      <x:c r="I101" s="10"/>
      <x:c r="J101" s="10"/>
    </x:row>
    <x:row r="102" ht="24" customHeight="1">
      <x:c r="A102" s="10"/>
      <x:c r="B102" s="10"/>
      <x:c r="C102" s="10"/>
      <x:c r="D102" s="10"/>
      <x:c r="E102" s="10"/>
      <x:c r="F102" s="10"/>
      <x:c r="G102" s="10"/>
      <x:c r="H102" s="10"/>
      <x:c r="I102" s="10"/>
      <x:c r="J102" s="10"/>
    </x:row>
    <x:row r="103" ht="24" customHeight="1">
      <x:c r="A103" s="10"/>
      <x:c r="B103" s="10"/>
      <x:c r="C103" s="10"/>
      <x:c r="D103" s="10"/>
      <x:c r="E103" s="10"/>
      <x:c r="F103" s="10"/>
      <x:c r="G103" s="10"/>
      <x:c r="H103" s="10"/>
      <x:c r="I103" s="10"/>
      <x:c r="J103" s="10"/>
    </x:row>
    <x:row r="104" ht="24" customHeight="1">
      <x:c r="A104" s="10"/>
      <x:c r="B104" s="10"/>
      <x:c r="C104" s="10"/>
      <x:c r="D104" s="10"/>
      <x:c r="E104" s="10"/>
      <x:c r="F104" s="10"/>
      <x:c r="G104" s="10"/>
      <x:c r="H104" s="10"/>
      <x:c r="I104" s="10"/>
      <x:c r="J104" s="10"/>
    </x:row>
    <x:row r="105" ht="24" customHeight="1">
      <x:c r="A105" s="10"/>
      <x:c r="B105" s="10"/>
      <x:c r="C105" s="10"/>
      <x:c r="D105" s="10"/>
      <x:c r="E105" s="10"/>
      <x:c r="F105" s="10"/>
      <x:c r="G105" s="10"/>
      <x:c r="H105" s="10"/>
      <x:c r="I105" s="10"/>
      <x:c r="J105" s="10"/>
    </x:row>
    <x:row r="106" ht="24" customHeight="1">
      <x:c r="A106" s="10"/>
      <x:c r="B106" s="10"/>
      <x:c r="C106" s="10"/>
      <x:c r="D106" s="10"/>
      <x:c r="E106" s="10"/>
      <x:c r="F106" s="10"/>
      <x:c r="G106" s="10"/>
      <x:c r="H106" s="10"/>
      <x:c r="I106" s="10"/>
      <x:c r="J106" s="10"/>
    </x:row>
    <x:row r="107" ht="24" customHeight="1">
      <x:c r="A107" s="10"/>
      <x:c r="B107" s="10"/>
      <x:c r="C107" s="10"/>
      <x:c r="D107" s="10"/>
      <x:c r="E107" s="10"/>
      <x:c r="F107" s="10"/>
      <x:c r="G107" s="10"/>
      <x:c r="H107" s="10"/>
      <x:c r="I107" s="10"/>
      <x:c r="J107" s="10"/>
    </x:row>
    <x:row r="108" ht="24" customHeight="1">
      <x:c r="A108" s="10"/>
      <x:c r="B108" s="10"/>
      <x:c r="C108" s="10"/>
      <x:c r="D108" s="10"/>
      <x:c r="E108" s="10"/>
      <x:c r="F108" s="10"/>
      <x:c r="G108" s="10"/>
      <x:c r="H108" s="10"/>
      <x:c r="I108" s="10"/>
      <x:c r="J108" s="10"/>
    </x:row>
    <x:row r="109" ht="24" customHeight="1">
      <x:c r="A109" s="10"/>
      <x:c r="B109" s="10"/>
      <x:c r="C109" s="10"/>
      <x:c r="D109" s="10"/>
      <x:c r="E109" s="10"/>
      <x:c r="F109" s="10"/>
      <x:c r="G109" s="10"/>
      <x:c r="H109" s="10"/>
      <x:c r="I109" s="10"/>
      <x:c r="J109" s="10"/>
    </x:row>
    <x:row r="110" ht="24" customHeight="1">
      <x:c r="A110" s="10"/>
      <x:c r="B110" s="10"/>
      <x:c r="C110" s="10"/>
      <x:c r="D110" s="10"/>
      <x:c r="E110" s="10"/>
      <x:c r="F110" s="10"/>
      <x:c r="G110" s="10"/>
      <x:c r="H110" s="10"/>
      <x:c r="I110" s="10"/>
      <x:c r="J110" s="10"/>
    </x:row>
    <x:row r="111" ht="24" customHeight="1">
      <x:c r="A111" s="10"/>
      <x:c r="B111" s="10"/>
      <x:c r="C111" s="10"/>
      <x:c r="D111" s="10"/>
      <x:c r="E111" s="10"/>
      <x:c r="F111" s="10"/>
      <x:c r="G111" s="10"/>
      <x:c r="H111" s="10"/>
      <x:c r="I111" s="10"/>
      <x:c r="J111" s="10"/>
    </x:row>
    <x:row r="112" ht="24" customHeight="1">
      <x:c r="A112" s="10"/>
      <x:c r="B112" s="10"/>
      <x:c r="C112" s="10"/>
      <x:c r="D112" s="10"/>
      <x:c r="E112" s="10"/>
      <x:c r="F112" s="10"/>
      <x:c r="G112" s="10"/>
      <x:c r="H112" s="10"/>
      <x:c r="I112" s="10"/>
      <x:c r="J112" s="10"/>
    </x:row>
    <x:row r="113" ht="24" customHeight="1">
      <x:c r="A113" s="10"/>
      <x:c r="B113" s="10"/>
      <x:c r="C113" s="10"/>
      <x:c r="D113" s="10"/>
      <x:c r="E113" s="10"/>
      <x:c r="F113" s="10"/>
      <x:c r="G113" s="10"/>
      <x:c r="H113" s="10"/>
      <x:c r="I113" s="10"/>
      <x:c r="J113" s="10"/>
    </x:row>
    <x:row r="114" ht="24" customHeight="1">
      <x:c r="A114" s="10"/>
      <x:c r="B114" s="10"/>
      <x:c r="C114" s="10"/>
      <x:c r="D114" s="10"/>
      <x:c r="E114" s="10"/>
      <x:c r="F114" s="10"/>
      <x:c r="G114" s="10"/>
      <x:c r="H114" s="10"/>
      <x:c r="I114" s="10"/>
      <x:c r="J114" s="10"/>
    </x:row>
    <x:row r="115" ht="24" customHeight="1">
      <x:c r="A115" s="10"/>
      <x:c r="B115" s="10"/>
      <x:c r="C115" s="10"/>
      <x:c r="D115" s="10"/>
      <x:c r="E115" s="10"/>
      <x:c r="F115" s="10"/>
      <x:c r="G115" s="10"/>
      <x:c r="H115" s="10"/>
      <x:c r="I115" s="10"/>
      <x:c r="J115" s="10"/>
    </x:row>
    <x:row r="116" ht="24" customHeight="1">
      <x:c r="A116" s="10"/>
      <x:c r="B116" s="10"/>
      <x:c r="C116" s="10"/>
      <x:c r="D116" s="10"/>
      <x:c r="E116" s="10"/>
      <x:c r="F116" s="10"/>
      <x:c r="G116" s="10"/>
      <x:c r="H116" s="10"/>
      <x:c r="I116" s="10"/>
      <x:c r="J116" s="10"/>
    </x:row>
    <x:row r="117" ht="24" customHeight="1">
      <x:c r="A117" s="10"/>
      <x:c r="B117" s="10"/>
      <x:c r="C117" s="10"/>
      <x:c r="D117" s="10"/>
      <x:c r="E117" s="10"/>
      <x:c r="F117" s="10"/>
      <x:c r="G117" s="10"/>
      <x:c r="H117" s="10"/>
      <x:c r="I117" s="10"/>
      <x:c r="J117" s="10"/>
    </x:row>
    <x:row r="118" ht="24" customHeight="1">
      <x:c r="A118" s="10"/>
      <x:c r="B118" s="10"/>
      <x:c r="C118" s="10"/>
      <x:c r="D118" s="10"/>
      <x:c r="E118" s="10"/>
      <x:c r="F118" s="10"/>
      <x:c r="G118" s="10"/>
      <x:c r="H118" s="10"/>
      <x:c r="I118" s="10"/>
      <x:c r="J118" s="10"/>
    </x:row>
    <x:row r="119" ht="24" customHeight="1">
      <x:c r="A119" s="10"/>
      <x:c r="B119" s="10"/>
      <x:c r="C119" s="10"/>
      <x:c r="D119" s="10"/>
      <x:c r="E119" s="10"/>
      <x:c r="F119" s="10"/>
      <x:c r="G119" s="10"/>
      <x:c r="H119" s="10"/>
      <x:c r="I119" s="10"/>
      <x:c r="J119" s="10"/>
    </x:row>
    <x:row r="120" ht="24" customHeight="1">
      <x:c r="A120" s="10"/>
      <x:c r="B120" s="10"/>
      <x:c r="C120" s="10"/>
      <x:c r="D120" s="10"/>
      <x:c r="E120" s="10"/>
      <x:c r="F120" s="10"/>
      <x:c r="G120" s="10"/>
      <x:c r="H120" s="10"/>
      <x:c r="I120" s="10"/>
      <x:c r="J120" s="10"/>
    </x:row>
    <x:row r="121" ht="24" customHeight="1">
      <x:c r="A121" s="10"/>
      <x:c r="B121" s="10"/>
      <x:c r="C121" s="10"/>
      <x:c r="D121" s="10"/>
      <x:c r="E121" s="10"/>
      <x:c r="F121" s="10"/>
      <x:c r="G121" s="10"/>
      <x:c r="H121" s="10"/>
      <x:c r="I121" s="10"/>
      <x:c r="J121" s="10"/>
    </x:row>
    <x:row r="122" ht="24" customHeight="1">
      <x:c r="A122" s="10"/>
      <x:c r="B122" s="10"/>
      <x:c r="C122" s="10"/>
      <x:c r="D122" s="10"/>
      <x:c r="E122" s="10"/>
      <x:c r="F122" s="10"/>
      <x:c r="G122" s="10"/>
      <x:c r="H122" s="10"/>
      <x:c r="I122" s="10"/>
      <x:c r="J122" s="10"/>
    </x:row>
    <x:row r="123" ht="24" customHeight="1">
      <x:c r="A123" s="10"/>
      <x:c r="B123" s="10"/>
      <x:c r="C123" s="10"/>
      <x:c r="D123" s="10"/>
      <x:c r="E123" s="10"/>
      <x:c r="F123" s="10"/>
      <x:c r="G123" s="10"/>
      <x:c r="H123" s="10"/>
      <x:c r="I123" s="10"/>
      <x:c r="J123" s="10"/>
    </x:row>
    <x:row r="124" ht="24" customHeight="1">
      <x:c r="A124" s="10"/>
      <x:c r="B124" s="10"/>
      <x:c r="C124" s="10"/>
      <x:c r="D124" s="10"/>
      <x:c r="E124" s="10"/>
      <x:c r="F124" s="10"/>
      <x:c r="G124" s="10"/>
      <x:c r="H124" s="10"/>
      <x:c r="I124" s="10"/>
      <x:c r="J124" s="10"/>
    </x:row>
    <x:row r="125" ht="24" customHeight="1">
      <x:c r="A125" s="10"/>
      <x:c r="B125" s="10"/>
      <x:c r="C125" s="10"/>
      <x:c r="D125" s="10"/>
      <x:c r="E125" s="10"/>
      <x:c r="F125" s="10"/>
      <x:c r="G125" s="10"/>
      <x:c r="H125" s="10"/>
      <x:c r="I125" s="10"/>
      <x:c r="J125" s="10"/>
    </x:row>
    <x:row r="126" ht="24" customHeight="1">
      <x:c r="A126" s="10"/>
      <x:c r="B126" s="10"/>
      <x:c r="C126" s="10"/>
      <x:c r="D126" s="10"/>
      <x:c r="E126" s="10"/>
      <x:c r="F126" s="10"/>
      <x:c r="G126" s="10"/>
      <x:c r="H126" s="10"/>
      <x:c r="I126" s="10"/>
      <x:c r="J126" s="10"/>
    </x:row>
    <x:row r="127" ht="24" customHeight="1">
      <x:c r="A127" s="10"/>
      <x:c r="B127" s="10"/>
      <x:c r="C127" s="10"/>
      <x:c r="D127" s="10"/>
      <x:c r="E127" s="10"/>
      <x:c r="F127" s="10"/>
      <x:c r="G127" s="10"/>
      <x:c r="H127" s="10"/>
      <x:c r="I127" s="10"/>
      <x:c r="J127" s="10"/>
    </x:row>
    <x:row r="128" ht="24" customHeight="1">
      <x:c r="A128" s="10"/>
      <x:c r="B128" s="10"/>
      <x:c r="C128" s="10"/>
      <x:c r="D128" s="10"/>
      <x:c r="E128" s="10"/>
      <x:c r="F128" s="10"/>
      <x:c r="G128" s="10"/>
      <x:c r="H128" s="10"/>
      <x:c r="I128" s="10"/>
      <x:c r="J128" s="10"/>
    </x:row>
    <x:row r="129" ht="24" customHeight="1">
      <x:c r="A129" s="10"/>
      <x:c r="B129" s="10"/>
      <x:c r="C129" s="10"/>
      <x:c r="D129" s="10"/>
      <x:c r="E129" s="10"/>
      <x:c r="F129" s="10"/>
      <x:c r="G129" s="10"/>
      <x:c r="H129" s="10"/>
      <x:c r="I129" s="10"/>
      <x:c r="J129" s="10"/>
    </x:row>
    <x:row r="130" ht="24" customHeight="1">
      <x:c r="A130" s="10"/>
      <x:c r="B130" s="10"/>
      <x:c r="C130" s="10"/>
      <x:c r="D130" s="10"/>
      <x:c r="E130" s="10"/>
      <x:c r="F130" s="10"/>
      <x:c r="G130" s="10"/>
      <x:c r="H130" s="10"/>
      <x:c r="I130" s="10"/>
      <x:c r="J130" s="10"/>
    </x:row>
    <x:row r="131" ht="24" customHeight="1">
      <x:c r="A131" s="10"/>
      <x:c r="B131" s="10"/>
      <x:c r="C131" s="10"/>
      <x:c r="D131" s="10"/>
      <x:c r="E131" s="10"/>
      <x:c r="F131" s="10"/>
      <x:c r="G131" s="10"/>
      <x:c r="H131" s="10"/>
      <x:c r="I131" s="10"/>
      <x:c r="J131" s="10"/>
    </x:row>
    <x:row r="132" ht="24" customHeight="1">
      <x:c r="A132" s="10"/>
      <x:c r="B132" s="10"/>
      <x:c r="C132" s="10"/>
      <x:c r="D132" s="10"/>
      <x:c r="E132" s="10"/>
      <x:c r="F132" s="10"/>
      <x:c r="G132" s="10"/>
      <x:c r="H132" s="10"/>
      <x:c r="I132" s="10"/>
      <x:c r="J132" s="10"/>
    </x:row>
    <x:row r="133" ht="24" customHeight="1">
      <x:c r="A133" s="10"/>
      <x:c r="B133" s="10"/>
      <x:c r="C133" s="10"/>
      <x:c r="D133" s="10"/>
      <x:c r="E133" s="10"/>
      <x:c r="F133" s="10"/>
      <x:c r="G133" s="10"/>
      <x:c r="H133" s="10"/>
      <x:c r="I133" s="10"/>
      <x:c r="J133" s="10"/>
    </x:row>
    <x:row r="134" ht="24" customHeight="1">
      <x:c r="A134" s="10"/>
      <x:c r="B134" s="10"/>
      <x:c r="C134" s="10"/>
      <x:c r="D134" s="10"/>
      <x:c r="E134" s="10"/>
      <x:c r="F134" s="10"/>
      <x:c r="G134" s="10"/>
      <x:c r="H134" s="10"/>
      <x:c r="I134" s="10"/>
      <x:c r="J134" s="10"/>
    </x:row>
    <x:row r="135" ht="24" customHeight="1">
      <x:c r="A135" s="10"/>
      <x:c r="B135" s="10"/>
      <x:c r="C135" s="10"/>
      <x:c r="D135" s="10"/>
      <x:c r="E135" s="10"/>
      <x:c r="F135" s="10"/>
      <x:c r="G135" s="10"/>
      <x:c r="H135" s="10"/>
      <x:c r="I135" s="10"/>
      <x:c r="J135" s="10"/>
    </x:row>
    <x:row r="136" ht="24" customHeight="1">
      <x:c r="A136" s="10"/>
      <x:c r="B136" s="10"/>
      <x:c r="C136" s="10"/>
      <x:c r="D136" s="10"/>
      <x:c r="E136" s="10"/>
      <x:c r="F136" s="10"/>
      <x:c r="G136" s="10"/>
      <x:c r="H136" s="10"/>
      <x:c r="I136" s="10"/>
      <x:c r="J136" s="10"/>
    </x:row>
    <x:row r="137" ht="24" customHeight="1">
      <x:c r="A137" s="10"/>
      <x:c r="B137" s="10"/>
      <x:c r="C137" s="10"/>
      <x:c r="D137" s="10"/>
      <x:c r="E137" s="10"/>
      <x:c r="F137" s="10"/>
      <x:c r="G137" s="10"/>
      <x:c r="H137" s="10"/>
      <x:c r="I137" s="10"/>
      <x:c r="J137" s="10"/>
    </x:row>
    <x:row r="138" ht="24" customHeight="1">
      <x:c r="A138" s="10"/>
      <x:c r="B138" s="10"/>
      <x:c r="C138" s="10"/>
      <x:c r="D138" s="10"/>
      <x:c r="E138" s="10"/>
      <x:c r="F138" s="10"/>
      <x:c r="G138" s="10"/>
      <x:c r="H138" s="10"/>
      <x:c r="I138" s="10"/>
      <x:c r="J138" s="10"/>
    </x:row>
    <x:row r="139" ht="24" customHeight="1">
      <x:c r="A139" s="10"/>
      <x:c r="B139" s="10"/>
      <x:c r="C139" s="10"/>
      <x:c r="D139" s="10"/>
      <x:c r="E139" s="10"/>
      <x:c r="F139" s="10"/>
      <x:c r="G139" s="10"/>
      <x:c r="H139" s="10"/>
      <x:c r="I139" s="10"/>
      <x:c r="J139" s="10"/>
    </x:row>
    <x:row r="140" ht="24" customHeight="1">
      <x:c r="A140" s="10"/>
      <x:c r="B140" s="10"/>
      <x:c r="C140" s="10"/>
      <x:c r="D140" s="10"/>
      <x:c r="E140" s="10"/>
      <x:c r="F140" s="10"/>
      <x:c r="G140" s="10"/>
      <x:c r="H140" s="10"/>
      <x:c r="I140" s="10"/>
      <x:c r="J140" s="10"/>
    </x:row>
    <x:row r="141" ht="24" customHeight="1">
      <x:c r="A141" s="10"/>
      <x:c r="B141" s="10"/>
      <x:c r="C141" s="10"/>
      <x:c r="D141" s="10"/>
      <x:c r="E141" s="10"/>
      <x:c r="F141" s="10"/>
      <x:c r="G141" s="10"/>
      <x:c r="H141" s="10"/>
      <x:c r="I141" s="10"/>
      <x:c r="J141" s="10"/>
    </x:row>
    <x:row r="142" ht="24" customHeight="1">
      <x:c r="A142" s="10"/>
      <x:c r="B142" s="10"/>
      <x:c r="C142" s="10"/>
      <x:c r="D142" s="10"/>
      <x:c r="E142" s="10"/>
      <x:c r="F142" s="10"/>
      <x:c r="G142" s="10"/>
      <x:c r="H142" s="10"/>
      <x:c r="I142" s="10"/>
      <x:c r="J142" s="10"/>
    </x:row>
    <x:row r="143" ht="24" customHeight="1">
      <x:c r="A143" s="10"/>
      <x:c r="B143" s="10"/>
      <x:c r="C143" s="10"/>
      <x:c r="D143" s="10"/>
      <x:c r="E143" s="10"/>
      <x:c r="F143" s="10"/>
      <x:c r="G143" s="10"/>
      <x:c r="H143" s="10"/>
      <x:c r="I143" s="10"/>
      <x:c r="J143" s="10"/>
    </x:row>
    <x:row r="144" ht="24" customHeight="1">
      <x:c r="A144" s="10"/>
      <x:c r="B144" s="10"/>
      <x:c r="C144" s="10"/>
      <x:c r="D144" s="10"/>
      <x:c r="E144" s="10"/>
      <x:c r="F144" s="10"/>
      <x:c r="G144" s="10"/>
      <x:c r="H144" s="10"/>
      <x:c r="I144" s="10"/>
      <x:c r="J144" s="10"/>
    </x:row>
    <x:row r="145" ht="24" customHeight="1">
      <x:c r="A145" s="10"/>
      <x:c r="B145" s="10"/>
      <x:c r="C145" s="10"/>
      <x:c r="D145" s="10"/>
      <x:c r="E145" s="10"/>
      <x:c r="F145" s="10"/>
      <x:c r="G145" s="10"/>
      <x:c r="H145" s="10"/>
      <x:c r="I145" s="10"/>
      <x:c r="J145" s="10"/>
    </x:row>
    <x:row r="146" ht="24" customHeight="1">
      <x:c r="A146" s="10"/>
      <x:c r="B146" s="10"/>
      <x:c r="C146" s="10"/>
      <x:c r="D146" s="10"/>
      <x:c r="E146" s="10"/>
      <x:c r="F146" s="10"/>
      <x:c r="G146" s="10"/>
      <x:c r="H146" s="10"/>
      <x:c r="I146" s="10"/>
      <x:c r="J146" s="10"/>
    </x:row>
    <x:row r="147" ht="24" customHeight="1">
      <x:c r="A147" s="10"/>
      <x:c r="B147" s="10"/>
      <x:c r="C147" s="10"/>
      <x:c r="D147" s="10"/>
      <x:c r="E147" s="10"/>
      <x:c r="F147" s="10"/>
      <x:c r="G147" s="10"/>
      <x:c r="H147" s="10"/>
      <x:c r="I147" s="10"/>
      <x:c r="J147" s="10"/>
    </x:row>
    <x:row r="148" ht="24" customHeight="1">
      <x:c r="A148" s="10"/>
      <x:c r="B148" s="10"/>
      <x:c r="C148" s="10"/>
      <x:c r="D148" s="10"/>
      <x:c r="E148" s="10"/>
      <x:c r="F148" s="10"/>
      <x:c r="G148" s="10"/>
      <x:c r="H148" s="10"/>
      <x:c r="I148" s="10"/>
      <x:c r="J148" s="10"/>
    </x:row>
    <x:row r="149" ht="24" customHeight="1">
      <x:c r="A149" s="10"/>
      <x:c r="B149" s="10"/>
      <x:c r="C149" s="10"/>
      <x:c r="D149" s="10"/>
      <x:c r="E149" s="10"/>
      <x:c r="F149" s="10"/>
      <x:c r="G149" s="10"/>
      <x:c r="H149" s="10"/>
      <x:c r="I149" s="10"/>
      <x:c r="J149" s="10"/>
    </x:row>
    <x:row r="150" ht="24" customHeight="1">
      <x:c r="A150" s="10"/>
      <x:c r="B150" s="10"/>
      <x:c r="C150" s="10"/>
      <x:c r="D150" s="10"/>
      <x:c r="E150" s="10"/>
      <x:c r="F150" s="10"/>
      <x:c r="G150" s="10"/>
      <x:c r="H150" s="10"/>
      <x:c r="I150" s="10"/>
      <x:c r="J150" s="10"/>
    </x:row>
    <x:row r="151" ht="24" customHeight="1">
      <x:c r="A151" s="10"/>
      <x:c r="B151" s="10"/>
      <x:c r="C151" s="10"/>
      <x:c r="D151" s="10"/>
      <x:c r="E151" s="10"/>
      <x:c r="F151" s="10"/>
      <x:c r="G151" s="10"/>
      <x:c r="H151" s="10"/>
      <x:c r="I151" s="10"/>
      <x:c r="J151" s="10"/>
    </x:row>
    <x:row r="152" ht="24" customHeight="1">
      <x:c r="A152" s="10"/>
      <x:c r="B152" s="10"/>
      <x:c r="C152" s="10"/>
      <x:c r="D152" s="10"/>
      <x:c r="E152" s="10"/>
      <x:c r="F152" s="10"/>
      <x:c r="G152" s="10"/>
      <x:c r="H152" s="10"/>
      <x:c r="I152" s="10"/>
      <x:c r="J152" s="10"/>
    </x:row>
    <x:row r="153" ht="24" customHeight="1">
      <x:c r="A153" s="10"/>
      <x:c r="B153" s="10"/>
      <x:c r="C153" s="10"/>
      <x:c r="D153" s="10"/>
      <x:c r="E153" s="10"/>
      <x:c r="F153" s="10"/>
      <x:c r="G153" s="10"/>
      <x:c r="H153" s="10"/>
      <x:c r="I153" s="10"/>
      <x:c r="J153" s="10"/>
    </x:row>
    <x:row r="154" ht="24" customHeight="1">
      <x:c r="A154" s="10"/>
      <x:c r="B154" s="10"/>
      <x:c r="C154" s="10"/>
      <x:c r="D154" s="10"/>
      <x:c r="E154" s="10"/>
      <x:c r="F154" s="10"/>
      <x:c r="G154" s="10"/>
      <x:c r="H154" s="10"/>
      <x:c r="I154" s="10"/>
      <x:c r="J154" s="10"/>
    </x:row>
    <x:row r="155" ht="24" customHeight="1">
      <x:c r="A155" s="10"/>
      <x:c r="B155" s="10"/>
      <x:c r="C155" s="10"/>
      <x:c r="D155" s="10"/>
      <x:c r="E155" s="10"/>
      <x:c r="F155" s="10"/>
      <x:c r="G155" s="10"/>
      <x:c r="H155" s="10"/>
      <x:c r="I155" s="10"/>
      <x:c r="J155" s="10"/>
    </x:row>
    <x:row r="156" ht="24" customHeight="1">
      <x:c r="A156" s="10"/>
      <x:c r="B156" s="10"/>
      <x:c r="C156" s="10"/>
      <x:c r="D156" s="10"/>
      <x:c r="E156" s="10"/>
      <x:c r="F156" s="10"/>
      <x:c r="G156" s="10"/>
      <x:c r="H156" s="10"/>
      <x:c r="I156" s="10"/>
      <x:c r="J156" s="10"/>
    </x:row>
    <x:row r="157" ht="24" customHeight="1">
      <x:c r="A157" s="10"/>
      <x:c r="B157" s="10"/>
      <x:c r="C157" s="10"/>
      <x:c r="D157" s="10"/>
      <x:c r="E157" s="10"/>
      <x:c r="F157" s="10"/>
      <x:c r="G157" s="10"/>
      <x:c r="H157" s="10"/>
      <x:c r="I157" s="10"/>
      <x:c r="J157" s="10"/>
    </x:row>
    <x:row r="158" ht="24" customHeight="1">
      <x:c r="A158" s="10"/>
      <x:c r="B158" s="10"/>
      <x:c r="C158" s="10"/>
      <x:c r="D158" s="10"/>
      <x:c r="E158" s="10"/>
      <x:c r="F158" s="10"/>
      <x:c r="G158" s="10"/>
      <x:c r="H158" s="10"/>
      <x:c r="I158" s="10"/>
      <x:c r="J158" s="10"/>
    </x:row>
    <x:row r="159" ht="24" customHeight="1">
      <x:c r="A159" s="10"/>
      <x:c r="B159" s="10"/>
      <x:c r="C159" s="10"/>
      <x:c r="D159" s="10"/>
      <x:c r="E159" s="10"/>
      <x:c r="F159" s="10"/>
      <x:c r="G159" s="10"/>
      <x:c r="H159" s="10"/>
      <x:c r="I159" s="10"/>
      <x:c r="J159" s="10"/>
    </x:row>
    <x:row r="160" ht="24" customHeight="1">
      <x:c r="A160" s="10"/>
      <x:c r="B160" s="10"/>
      <x:c r="C160" s="10"/>
      <x:c r="D160" s="10"/>
      <x:c r="E160" s="10"/>
      <x:c r="F160" s="10"/>
      <x:c r="G160" s="10"/>
      <x:c r="H160" s="10"/>
      <x:c r="I160" s="10"/>
      <x:c r="J160" s="10"/>
    </x:row>
    <x:row r="161" ht="24" customHeight="1">
      <x:c r="A161" s="10"/>
      <x:c r="B161" s="10"/>
      <x:c r="C161" s="10"/>
      <x:c r="D161" s="10"/>
      <x:c r="E161" s="10"/>
      <x:c r="F161" s="10"/>
      <x:c r="G161" s="10"/>
      <x:c r="H161" s="10"/>
      <x:c r="I161" s="10"/>
      <x:c r="J161" s="10"/>
    </x:row>
    <x:row r="162" ht="24" customHeight="1">
      <x:c r="A162" s="10"/>
      <x:c r="B162" s="10"/>
      <x:c r="C162" s="10"/>
      <x:c r="D162" s="10"/>
      <x:c r="E162" s="10"/>
      <x:c r="F162" s="10"/>
      <x:c r="G162" s="10"/>
      <x:c r="H162" s="10"/>
      <x:c r="I162" s="10"/>
      <x:c r="J162" s="10"/>
    </x:row>
    <x:row r="163" ht="24" customHeight="1">
      <x:c r="A163" s="10"/>
      <x:c r="B163" s="10"/>
      <x:c r="C163" s="10"/>
      <x:c r="D163" s="10"/>
      <x:c r="E163" s="10"/>
      <x:c r="F163" s="10"/>
      <x:c r="G163" s="10"/>
      <x:c r="H163" s="10"/>
      <x:c r="I163" s="10"/>
      <x:c r="J163" s="10"/>
    </x:row>
    <x:row r="164" ht="24" customHeight="1">
      <x:c r="A164" s="10"/>
      <x:c r="B164" s="10"/>
      <x:c r="C164" s="10"/>
      <x:c r="D164" s="10"/>
      <x:c r="E164" s="10"/>
      <x:c r="F164" s="10"/>
      <x:c r="G164" s="10"/>
      <x:c r="H164" s="10"/>
      <x:c r="I164" s="10"/>
      <x:c r="J164" s="10"/>
    </x:row>
    <x:row r="165" ht="24" customHeight="1">
      <x:c r="A165" s="10"/>
      <x:c r="B165" s="10"/>
      <x:c r="C165" s="10"/>
      <x:c r="D165" s="10"/>
      <x:c r="E165" s="10"/>
      <x:c r="F165" s="10"/>
      <x:c r="G165" s="10"/>
      <x:c r="H165" s="10"/>
      <x:c r="I165" s="10"/>
      <x:c r="J165" s="10"/>
    </x:row>
    <x:row r="166" ht="24" customHeight="1">
      <x:c r="A166" s="10"/>
      <x:c r="B166" s="10"/>
      <x:c r="C166" s="10"/>
      <x:c r="D166" s="10"/>
      <x:c r="E166" s="10"/>
      <x:c r="F166" s="10"/>
      <x:c r="G166" s="10"/>
      <x:c r="H166" s="10"/>
      <x:c r="I166" s="10"/>
      <x:c r="J166" s="10"/>
    </x:row>
    <x:row r="167" ht="24" customHeight="1">
      <x:c r="A167" s="10"/>
      <x:c r="B167" s="10"/>
      <x:c r="C167" s="10"/>
      <x:c r="D167" s="10"/>
      <x:c r="E167" s="10"/>
      <x:c r="F167" s="10"/>
      <x:c r="G167" s="10"/>
      <x:c r="H167" s="10"/>
      <x:c r="I167" s="10"/>
      <x:c r="J167" s="10"/>
    </x:row>
    <x:row r="168" ht="24" customHeight="1">
      <x:c r="A168" s="10"/>
      <x:c r="B168" s="10"/>
      <x:c r="C168" s="10"/>
      <x:c r="D168" s="10"/>
      <x:c r="E168" s="10"/>
      <x:c r="F168" s="10"/>
      <x:c r="G168" s="10"/>
      <x:c r="H168" s="10"/>
      <x:c r="I168" s="10"/>
      <x:c r="J168" s="10"/>
    </x:row>
    <x:row r="169" ht="24" customHeight="1">
      <x:c r="A169" s="10"/>
      <x:c r="B169" s="10"/>
      <x:c r="C169" s="10"/>
      <x:c r="D169" s="10"/>
      <x:c r="E169" s="10"/>
      <x:c r="F169" s="10"/>
      <x:c r="G169" s="10"/>
      <x:c r="H169" s="10"/>
      <x:c r="I169" s="10"/>
      <x:c r="J169" s="10"/>
    </x:row>
    <x:row r="170" ht="24" customHeight="1">
      <x:c r="A170" s="10"/>
      <x:c r="B170" s="10"/>
      <x:c r="C170" s="10"/>
      <x:c r="D170" s="10"/>
      <x:c r="E170" s="10"/>
      <x:c r="F170" s="10"/>
      <x:c r="G170" s="10"/>
      <x:c r="H170" s="10"/>
      <x:c r="I170" s="10"/>
      <x:c r="J170" s="10"/>
    </x:row>
    <x:row r="171" ht="24" customHeight="1">
      <x:c r="A171" s="10"/>
      <x:c r="B171" s="10"/>
      <x:c r="C171" s="10"/>
      <x:c r="D171" s="10"/>
      <x:c r="E171" s="10"/>
      <x:c r="F171" s="10"/>
      <x:c r="G171" s="10"/>
      <x:c r="H171" s="10"/>
      <x:c r="I171" s="10"/>
      <x:c r="J171" s="10"/>
    </x:row>
    <x:row r="172" ht="24" customHeight="1">
      <x:c r="A172" s="10"/>
      <x:c r="B172" s="10"/>
      <x:c r="C172" s="10"/>
      <x:c r="D172" s="10"/>
      <x:c r="E172" s="10"/>
      <x:c r="F172" s="10"/>
      <x:c r="G172" s="10"/>
      <x:c r="H172" s="10"/>
      <x:c r="I172" s="10"/>
      <x:c r="J172" s="10"/>
    </x:row>
    <x:row r="173" ht="24" customHeight="1">
      <x:c r="A173" s="10"/>
      <x:c r="B173" s="10"/>
      <x:c r="C173" s="10"/>
      <x:c r="D173" s="10"/>
      <x:c r="E173" s="10"/>
      <x:c r="F173" s="10"/>
      <x:c r="G173" s="10"/>
      <x:c r="H173" s="10"/>
      <x:c r="I173" s="10"/>
      <x:c r="J173" s="10"/>
    </x:row>
    <x:row r="174" ht="24" customHeight="1">
      <x:c r="A174" s="10"/>
      <x:c r="B174" s="10"/>
      <x:c r="C174" s="10"/>
      <x:c r="D174" s="10"/>
      <x:c r="E174" s="10"/>
      <x:c r="F174" s="10"/>
      <x:c r="G174" s="10"/>
      <x:c r="H174" s="10"/>
      <x:c r="I174" s="10"/>
      <x:c r="J174" s="10"/>
    </x:row>
    <x:row r="175" ht="24" customHeight="1">
      <x:c r="A175" s="10"/>
      <x:c r="B175" s="10"/>
      <x:c r="C175" s="10"/>
      <x:c r="D175" s="10"/>
      <x:c r="E175" s="10"/>
      <x:c r="F175" s="10"/>
      <x:c r="G175" s="10"/>
      <x:c r="H175" s="10"/>
      <x:c r="I175" s="10"/>
      <x:c r="J175" s="10"/>
    </x:row>
    <x:row r="176" ht="24" customHeight="1">
      <x:c r="A176" s="10"/>
      <x:c r="B176" s="10"/>
      <x:c r="C176" s="10"/>
      <x:c r="D176" s="10"/>
      <x:c r="E176" s="10"/>
      <x:c r="F176" s="10"/>
      <x:c r="G176" s="10"/>
      <x:c r="H176" s="10"/>
      <x:c r="I176" s="10"/>
      <x:c r="J176" s="10"/>
    </x:row>
    <x:row r="177" ht="24" customHeight="1">
      <x:c r="A177" s="10"/>
      <x:c r="B177" s="10"/>
      <x:c r="C177" s="10"/>
      <x:c r="D177" s="10"/>
      <x:c r="E177" s="10"/>
      <x:c r="F177" s="10"/>
      <x:c r="G177" s="10"/>
      <x:c r="H177" s="10"/>
      <x:c r="I177" s="10"/>
      <x:c r="J177" s="10"/>
    </x:row>
    <x:row r="178" ht="24" customHeight="1">
      <x:c r="A178" s="10"/>
      <x:c r="B178" s="10"/>
      <x:c r="C178" s="10"/>
      <x:c r="D178" s="10"/>
      <x:c r="E178" s="10"/>
      <x:c r="F178" s="10"/>
      <x:c r="G178" s="10"/>
      <x:c r="H178" s="10"/>
      <x:c r="I178" s="10"/>
      <x:c r="J178" s="10"/>
    </x:row>
    <x:row r="179" ht="24" customHeight="1">
      <x:c r="A179" s="10"/>
      <x:c r="B179" s="10"/>
      <x:c r="C179" s="10"/>
      <x:c r="D179" s="10"/>
      <x:c r="E179" s="10"/>
      <x:c r="F179" s="10"/>
      <x:c r="G179" s="10"/>
      <x:c r="H179" s="10"/>
      <x:c r="I179" s="10"/>
      <x:c r="J179" s="10"/>
    </x:row>
    <x:row r="180" ht="24" customHeight="1">
      <x:c r="A180" s="10"/>
      <x:c r="B180" s="10"/>
      <x:c r="C180" s="10"/>
      <x:c r="D180" s="10"/>
      <x:c r="E180" s="10"/>
      <x:c r="F180" s="10"/>
      <x:c r="G180" s="10"/>
      <x:c r="H180" s="10"/>
      <x:c r="I180" s="10"/>
      <x:c r="J180" s="10"/>
    </x:row>
    <x:row r="181" ht="24" customHeight="1">
      <x:c r="A181" s="10"/>
      <x:c r="B181" s="10"/>
      <x:c r="C181" s="10"/>
      <x:c r="D181" s="10"/>
      <x:c r="E181" s="10"/>
      <x:c r="F181" s="10"/>
      <x:c r="G181" s="10"/>
      <x:c r="H181" s="10"/>
      <x:c r="I181" s="10"/>
      <x:c r="J181" s="10"/>
    </x:row>
    <x:row r="182" ht="24" customHeight="1">
      <x:c r="A182" s="10"/>
      <x:c r="B182" s="10"/>
      <x:c r="C182" s="10"/>
      <x:c r="D182" s="10"/>
      <x:c r="E182" s="10"/>
      <x:c r="F182" s="10"/>
      <x:c r="G182" s="10"/>
      <x:c r="H182" s="10"/>
      <x:c r="I182" s="10"/>
      <x:c r="J182" s="10"/>
    </x:row>
    <x:row r="183" ht="24" customHeight="1">
      <x:c r="A183" s="10"/>
      <x:c r="B183" s="10"/>
      <x:c r="C183" s="10"/>
      <x:c r="D183" s="10"/>
      <x:c r="E183" s="10"/>
      <x:c r="F183" s="10"/>
      <x:c r="G183" s="10"/>
      <x:c r="H183" s="10"/>
      <x:c r="I183" s="10"/>
      <x:c r="J183" s="10"/>
    </x:row>
    <x:row r="184" ht="24" customHeight="1">
      <x:c r="A184" s="10"/>
      <x:c r="B184" s="10"/>
      <x:c r="C184" s="10"/>
      <x:c r="D184" s="10"/>
      <x:c r="E184" s="10"/>
      <x:c r="F184" s="10"/>
      <x:c r="G184" s="10"/>
      <x:c r="H184" s="10"/>
      <x:c r="I184" s="10"/>
      <x:c r="J184" s="10"/>
    </x:row>
    <x:row r="185" ht="24" customHeight="1">
      <x:c r="A185" s="10"/>
      <x:c r="B185" s="10"/>
      <x:c r="C185" s="10"/>
      <x:c r="D185" s="10"/>
      <x:c r="E185" s="10"/>
      <x:c r="F185" s="10"/>
      <x:c r="G185" s="10"/>
      <x:c r="H185" s="10"/>
      <x:c r="I185" s="10"/>
      <x:c r="J185" s="10"/>
    </x:row>
    <x:row r="186" ht="24" customHeight="1">
      <x:c r="A186" s="10"/>
      <x:c r="B186" s="10"/>
      <x:c r="C186" s="10"/>
      <x:c r="D186" s="10"/>
      <x:c r="E186" s="10"/>
      <x:c r="F186" s="10"/>
      <x:c r="G186" s="10"/>
      <x:c r="H186" s="10"/>
      <x:c r="I186" s="10"/>
      <x:c r="J186" s="10"/>
    </x:row>
    <x:row r="187" ht="24" customHeight="1">
      <x:c r="A187" s="10"/>
      <x:c r="B187" s="10"/>
      <x:c r="C187" s="10"/>
      <x:c r="D187" s="10"/>
      <x:c r="E187" s="10"/>
      <x:c r="F187" s="10"/>
      <x:c r="G187" s="10"/>
      <x:c r="H187" s="10"/>
      <x:c r="I187" s="10"/>
      <x:c r="J187" s="10"/>
    </x:row>
    <x:row r="188" ht="24" customHeight="1">
      <x:c r="A188" s="10"/>
      <x:c r="B188" s="10"/>
      <x:c r="C188" s="10"/>
      <x:c r="D188" s="10"/>
      <x:c r="E188" s="10"/>
      <x:c r="F188" s="10"/>
      <x:c r="G188" s="10"/>
      <x:c r="H188" s="10"/>
      <x:c r="I188" s="10"/>
      <x:c r="J188" s="10"/>
    </x:row>
    <x:row r="189" ht="24" customHeight="1">
      <x:c r="A189" s="10"/>
      <x:c r="B189" s="10"/>
      <x:c r="C189" s="10"/>
      <x:c r="D189" s="10"/>
      <x:c r="E189" s="10"/>
      <x:c r="F189" s="10"/>
      <x:c r="G189" s="10"/>
      <x:c r="H189" s="10"/>
      <x:c r="I189" s="10"/>
      <x:c r="J189" s="10"/>
    </x:row>
    <x:row r="190" ht="24" customHeight="1">
      <x:c r="A190" s="10"/>
      <x:c r="B190" s="10"/>
      <x:c r="C190" s="10"/>
      <x:c r="D190" s="10"/>
      <x:c r="E190" s="10"/>
      <x:c r="F190" s="10"/>
      <x:c r="G190" s="10"/>
      <x:c r="H190" s="10"/>
      <x:c r="I190" s="10"/>
      <x:c r="J190" s="10"/>
    </x:row>
    <x:row r="191" ht="24" customHeight="1">
      <x:c r="A191" s="10"/>
      <x:c r="B191" s="10"/>
      <x:c r="C191" s="10"/>
      <x:c r="D191" s="10"/>
      <x:c r="E191" s="10"/>
      <x:c r="F191" s="10"/>
      <x:c r="G191" s="10"/>
      <x:c r="H191" s="10"/>
      <x:c r="I191" s="10"/>
      <x:c r="J191" s="10"/>
    </x:row>
    <x:row r="192" ht="24" customHeight="1">
      <x:c r="A192" s="10"/>
      <x:c r="B192" s="10"/>
      <x:c r="C192" s="10"/>
      <x:c r="D192" s="10"/>
      <x:c r="E192" s="10"/>
      <x:c r="F192" s="10"/>
      <x:c r="G192" s="10"/>
      <x:c r="H192" s="10"/>
      <x:c r="I192" s="10"/>
      <x:c r="J192" s="10"/>
    </x:row>
    <x:row r="193" ht="24" customHeight="1">
      <x:c r="A193" s="10"/>
      <x:c r="B193" s="10"/>
      <x:c r="C193" s="10"/>
      <x:c r="D193" s="10"/>
      <x:c r="E193" s="10"/>
      <x:c r="F193" s="10"/>
      <x:c r="G193" s="10"/>
      <x:c r="H193" s="10"/>
      <x:c r="I193" s="10"/>
      <x:c r="J193" s="10"/>
    </x:row>
    <x:row r="194" ht="24" customHeight="1">
      <x:c r="A194" s="10"/>
      <x:c r="B194" s="10"/>
      <x:c r="C194" s="10"/>
      <x:c r="D194" s="10"/>
      <x:c r="E194" s="10"/>
      <x:c r="F194" s="10"/>
      <x:c r="G194" s="10"/>
      <x:c r="H194" s="10"/>
      <x:c r="I194" s="10"/>
      <x:c r="J194" s="10"/>
    </x:row>
    <x:row r="195" ht="24" customHeight="1">
      <x:c r="A195" s="10"/>
      <x:c r="B195" s="10"/>
      <x:c r="C195" s="10"/>
      <x:c r="D195" s="10"/>
      <x:c r="E195" s="10"/>
      <x:c r="F195" s="10"/>
      <x:c r="G195" s="10"/>
      <x:c r="H195" s="10"/>
      <x:c r="I195" s="10"/>
      <x:c r="J195" s="10"/>
    </x:row>
    <x:row r="196" ht="24" customHeight="1">
      <x:c r="A196" s="10"/>
      <x:c r="B196" s="10"/>
      <x:c r="C196" s="10"/>
      <x:c r="D196" s="10"/>
      <x:c r="E196" s="10"/>
      <x:c r="F196" s="10"/>
      <x:c r="G196" s="10"/>
      <x:c r="H196" s="10"/>
      <x:c r="I196" s="10"/>
      <x:c r="J196" s="10"/>
    </x:row>
    <x:row r="197" ht="24" customHeight="1">
      <x:c r="A197" s="10"/>
      <x:c r="B197" s="10"/>
      <x:c r="C197" s="10"/>
      <x:c r="D197" s="10"/>
      <x:c r="E197" s="10"/>
      <x:c r="F197" s="10"/>
      <x:c r="G197" s="10"/>
      <x:c r="H197" s="10"/>
      <x:c r="I197" s="10"/>
      <x:c r="J197" s="10"/>
    </x:row>
    <x:row r="198" ht="24" customHeight="1">
      <x:c r="A198" s="10"/>
      <x:c r="B198" s="10"/>
      <x:c r="C198" s="10"/>
      <x:c r="D198" s="10"/>
      <x:c r="E198" s="10"/>
      <x:c r="F198" s="10"/>
      <x:c r="G198" s="10"/>
      <x:c r="H198" s="10"/>
      <x:c r="I198" s="10"/>
      <x:c r="J198" s="10"/>
    </x:row>
    <x:row r="199" ht="24" customHeight="1">
      <x:c r="A199" s="10"/>
      <x:c r="B199" s="10"/>
      <x:c r="C199" s="10"/>
      <x:c r="D199" s="10"/>
      <x:c r="E199" s="10"/>
      <x:c r="F199" s="10"/>
      <x:c r="G199" s="10"/>
      <x:c r="H199" s="10"/>
      <x:c r="I199" s="10"/>
      <x:c r="J199" s="10"/>
    </x:row>
    <x:row r="200" ht="24" customHeight="1">
      <x:c r="A200" s="10"/>
      <x:c r="B200" s="10"/>
      <x:c r="C200" s="10"/>
      <x:c r="D200" s="10"/>
      <x:c r="E200" s="10"/>
      <x:c r="F200" s="10"/>
      <x:c r="G200" s="10"/>
      <x:c r="H200" s="10"/>
      <x:c r="I200" s="10"/>
      <x:c r="J200" s="10"/>
    </x:row>
    <x:row r="201" ht="24" customHeight="1">
      <x:c r="A201" s="10"/>
      <x:c r="B201" s="10"/>
      <x:c r="C201" s="10"/>
      <x:c r="D201" s="10"/>
      <x:c r="E201" s="10"/>
      <x:c r="F201" s="10"/>
      <x:c r="G201" s="10"/>
      <x:c r="H201" s="10"/>
      <x:c r="I201" s="10"/>
      <x:c r="J201" s="10"/>
    </x:row>
    <x:row r="202" ht="24" customHeight="1">
      <x:c r="A202" s="10"/>
      <x:c r="B202" s="10"/>
      <x:c r="C202" s="10"/>
      <x:c r="D202" s="10"/>
      <x:c r="E202" s="10"/>
      <x:c r="F202" s="10"/>
      <x:c r="G202" s="10"/>
      <x:c r="H202" s="10"/>
      <x:c r="I202" s="10"/>
      <x:c r="J202" s="10"/>
    </x:row>
    <x:row r="203" ht="24" customHeight="1">
      <x:c r="A203" s="10"/>
      <x:c r="B203" s="10"/>
      <x:c r="C203" s="10"/>
      <x:c r="D203" s="10"/>
      <x:c r="E203" s="10"/>
      <x:c r="F203" s="10"/>
      <x:c r="G203" s="10"/>
      <x:c r="H203" s="10"/>
      <x:c r="I203" s="10"/>
      <x:c r="J203" s="10"/>
    </x:row>
    <x:row r="204" ht="24" customHeight="1">
      <x:c r="A204" s="10"/>
      <x:c r="B204" s="10"/>
      <x:c r="C204" s="10"/>
      <x:c r="D204" s="10"/>
      <x:c r="E204" s="10"/>
      <x:c r="F204" s="10"/>
      <x:c r="G204" s="10"/>
      <x:c r="H204" s="10"/>
      <x:c r="I204" s="10"/>
      <x:c r="J204" s="10"/>
    </x:row>
    <x:row r="205" ht="24" customHeight="1">
      <x:c r="A205" s="10"/>
      <x:c r="B205" s="10"/>
      <x:c r="C205" s="10"/>
      <x:c r="D205" s="10"/>
      <x:c r="E205" s="10"/>
      <x:c r="F205" s="10"/>
      <x:c r="G205" s="10"/>
      <x:c r="H205" s="10"/>
      <x:c r="I205" s="10"/>
      <x:c r="J205" s="10"/>
    </x:row>
    <x:row r="206" ht="24" customHeight="1">
      <x:c r="A206" s="10"/>
      <x:c r="B206" s="10"/>
      <x:c r="C206" s="10"/>
      <x:c r="D206" s="10"/>
      <x:c r="E206" s="10"/>
      <x:c r="F206" s="10"/>
      <x:c r="G206" s="10"/>
      <x:c r="H206" s="10"/>
      <x:c r="I206" s="10"/>
      <x:c r="J206" s="10"/>
    </x:row>
    <x:row r="207" ht="24" customHeight="1">
      <x:c r="A207" s="10"/>
      <x:c r="B207" s="10"/>
      <x:c r="C207" s="10"/>
      <x:c r="D207" s="10"/>
      <x:c r="E207" s="10"/>
      <x:c r="F207" s="10"/>
      <x:c r="G207" s="10"/>
      <x:c r="H207" s="10"/>
      <x:c r="I207" s="10"/>
      <x:c r="J207" s="10"/>
    </x:row>
    <x:row r="208" ht="24" customHeight="1">
      <x:c r="A208" s="10"/>
      <x:c r="B208" s="10"/>
      <x:c r="C208" s="10"/>
      <x:c r="D208" s="10"/>
      <x:c r="E208" s="10"/>
      <x:c r="F208" s="10"/>
      <x:c r="G208" s="10"/>
      <x:c r="H208" s="10"/>
      <x:c r="I208" s="10"/>
      <x:c r="J208" s="10"/>
    </x:row>
    <x:row r="209" ht="24" customHeight="1">
      <x:c r="A209" s="10"/>
      <x:c r="B209" s="10"/>
      <x:c r="C209" s="10"/>
      <x:c r="D209" s="10"/>
      <x:c r="E209" s="10"/>
      <x:c r="F209" s="10"/>
      <x:c r="G209" s="10"/>
      <x:c r="H209" s="10"/>
      <x:c r="I209" s="10"/>
      <x:c r="J209" s="10"/>
    </x:row>
    <x:row r="210" ht="24" customHeight="1">
      <x:c r="A210" s="10"/>
      <x:c r="B210" s="10"/>
      <x:c r="C210" s="10"/>
      <x:c r="D210" s="10"/>
      <x:c r="E210" s="10"/>
      <x:c r="F210" s="10"/>
      <x:c r="G210" s="10"/>
      <x:c r="H210" s="10"/>
      <x:c r="I210" s="10"/>
      <x:c r="J210" s="10"/>
    </x:row>
    <x:row r="211" ht="24" customHeight="1">
      <x:c r="A211" s="10"/>
      <x:c r="B211" s="10"/>
      <x:c r="C211" s="10"/>
      <x:c r="D211" s="10"/>
      <x:c r="E211" s="10"/>
      <x:c r="F211" s="10"/>
      <x:c r="G211" s="10"/>
      <x:c r="H211" s="10"/>
      <x:c r="I211" s="10"/>
      <x:c r="J211" s="10"/>
    </x:row>
    <x:row r="212" ht="24" customHeight="1">
      <x:c r="A212" s="10"/>
      <x:c r="B212" s="10"/>
      <x:c r="C212" s="10"/>
      <x:c r="D212" s="10"/>
      <x:c r="E212" s="10"/>
      <x:c r="F212" s="10"/>
      <x:c r="G212" s="10"/>
      <x:c r="H212" s="10"/>
      <x:c r="I212" s="10"/>
      <x:c r="J212" s="10"/>
    </x:row>
    <x:row r="213" ht="24" customHeight="1">
      <x:c r="A213" s="10"/>
      <x:c r="B213" s="10"/>
      <x:c r="C213" s="10"/>
      <x:c r="D213" s="10"/>
      <x:c r="E213" s="10"/>
      <x:c r="F213" s="10"/>
      <x:c r="G213" s="10"/>
      <x:c r="H213" s="10"/>
      <x:c r="I213" s="10"/>
      <x:c r="J213" s="10"/>
    </x:row>
    <x:row r="214" ht="24" customHeight="1">
      <x:c r="A214" s="10"/>
      <x:c r="B214" s="10"/>
      <x:c r="C214" s="10"/>
      <x:c r="D214" s="10"/>
      <x:c r="E214" s="10"/>
      <x:c r="F214" s="10"/>
      <x:c r="G214" s="10"/>
      <x:c r="H214" s="10"/>
      <x:c r="I214" s="10"/>
      <x:c r="J214" s="10"/>
    </x:row>
    <x:row r="215" ht="24" customHeight="1">
      <x:c r="A215" s="10"/>
      <x:c r="B215" s="10"/>
      <x:c r="C215" s="10"/>
      <x:c r="D215" s="10"/>
      <x:c r="E215" s="10"/>
      <x:c r="F215" s="10"/>
      <x:c r="G215" s="10"/>
      <x:c r="H215" s="10"/>
      <x:c r="I215" s="10"/>
      <x:c r="J215" s="10"/>
    </x:row>
    <x:row r="216" ht="24" customHeight="1">
      <x:c r="A216" s="10"/>
      <x:c r="B216" s="10"/>
      <x:c r="C216" s="10"/>
      <x:c r="D216" s="10"/>
      <x:c r="E216" s="10"/>
      <x:c r="F216" s="10"/>
      <x:c r="G216" s="10"/>
      <x:c r="H216" s="10"/>
      <x:c r="I216" s="10"/>
      <x:c r="J216" s="10"/>
    </x:row>
    <x:row r="217" ht="24" customHeight="1">
      <x:c r="A217" s="10"/>
      <x:c r="B217" s="10"/>
      <x:c r="C217" s="10"/>
      <x:c r="D217" s="10"/>
      <x:c r="E217" s="10"/>
      <x:c r="F217" s="10"/>
      <x:c r="G217" s="10"/>
      <x:c r="H217" s="10"/>
      <x:c r="I217" s="10"/>
      <x:c r="J217" s="10"/>
    </x:row>
    <x:row r="218" ht="24" customHeight="1">
      <x:c r="A218" s="10"/>
      <x:c r="B218" s="10"/>
      <x:c r="C218" s="10"/>
      <x:c r="D218" s="10"/>
      <x:c r="E218" s="10"/>
      <x:c r="F218" s="10"/>
      <x:c r="G218" s="10"/>
      <x:c r="H218" s="10"/>
      <x:c r="I218" s="10"/>
      <x:c r="J218" s="10"/>
    </x:row>
    <x:row r="219" ht="24" customHeight="1">
      <x:c r="A219" s="10"/>
      <x:c r="B219" s="10"/>
      <x:c r="C219" s="10"/>
      <x:c r="D219" s="10"/>
      <x:c r="E219" s="10"/>
      <x:c r="F219" s="10"/>
      <x:c r="G219" s="10"/>
      <x:c r="H219" s="10"/>
      <x:c r="I219" s="10"/>
      <x:c r="J219" s="10"/>
    </x:row>
    <x:row r="220" ht="24" customHeight="1">
      <x:c r="A220" s="10"/>
      <x:c r="B220" s="10"/>
      <x:c r="C220" s="10"/>
      <x:c r="D220" s="10"/>
      <x:c r="E220" s="10"/>
      <x:c r="F220" s="10"/>
      <x:c r="G220" s="10"/>
      <x:c r="H220" s="10"/>
      <x:c r="I220" s="10"/>
      <x:c r="J220" s="10"/>
    </x:row>
    <x:row r="221" ht="24" customHeight="1">
      <x:c r="A221" s="10"/>
      <x:c r="B221" s="10"/>
      <x:c r="C221" s="10"/>
      <x:c r="D221" s="10"/>
      <x:c r="E221" s="10"/>
      <x:c r="F221" s="10"/>
      <x:c r="G221" s="10"/>
      <x:c r="H221" s="10"/>
      <x:c r="I221" s="10"/>
      <x:c r="J221" s="10"/>
    </x:row>
    <x:row r="222" ht="24" customHeight="1">
      <x:c r="A222" s="10"/>
      <x:c r="B222" s="10"/>
      <x:c r="C222" s="10"/>
      <x:c r="D222" s="10"/>
      <x:c r="E222" s="10"/>
      <x:c r="F222" s="10"/>
      <x:c r="G222" s="10"/>
      <x:c r="H222" s="10"/>
      <x:c r="I222" s="10"/>
      <x:c r="J222" s="10"/>
    </x:row>
    <x:row r="223" ht="24" customHeight="1">
      <x:c r="A223" s="10"/>
      <x:c r="B223" s="10"/>
      <x:c r="C223" s="10"/>
      <x:c r="D223" s="10"/>
      <x:c r="E223" s="10"/>
      <x:c r="F223" s="10"/>
      <x:c r="G223" s="10"/>
      <x:c r="H223" s="10"/>
      <x:c r="I223" s="10"/>
      <x:c r="J223" s="10"/>
    </x:row>
    <x:row r="224" ht="24" customHeight="1">
      <x:c r="A224" s="10"/>
      <x:c r="B224" s="10"/>
      <x:c r="C224" s="10"/>
      <x:c r="D224" s="10"/>
      <x:c r="E224" s="10"/>
      <x:c r="F224" s="10"/>
      <x:c r="G224" s="10"/>
      <x:c r="H224" s="10"/>
      <x:c r="I224" s="10"/>
      <x:c r="J224" s="10"/>
    </x:row>
    <x:row r="225" ht="24" customHeight="1">
      <x:c r="A225" s="10"/>
      <x:c r="B225" s="10"/>
      <x:c r="C225" s="10"/>
      <x:c r="D225" s="10"/>
      <x:c r="E225" s="10"/>
      <x:c r="F225" s="10"/>
      <x:c r="G225" s="10"/>
      <x:c r="H225" s="10"/>
      <x:c r="I225" s="10"/>
      <x:c r="J225" s="10"/>
    </x:row>
    <x:row r="226" ht="24" customHeight="1">
      <x:c r="A226" s="10"/>
      <x:c r="B226" s="10"/>
      <x:c r="C226" s="10"/>
      <x:c r="D226" s="10"/>
      <x:c r="E226" s="10"/>
      <x:c r="F226" s="10"/>
      <x:c r="G226" s="10"/>
      <x:c r="H226" s="10"/>
      <x:c r="I226" s="10"/>
      <x:c r="J226" s="10"/>
    </x:row>
    <x:row r="227" ht="24" customHeight="1">
      <x:c r="A227" s="10"/>
      <x:c r="B227" s="10"/>
      <x:c r="C227" s="10"/>
      <x:c r="D227" s="10"/>
      <x:c r="E227" s="10"/>
      <x:c r="F227" s="10"/>
      <x:c r="G227" s="10"/>
      <x:c r="H227" s="10"/>
      <x:c r="I227" s="10"/>
      <x:c r="J227" s="10"/>
    </x:row>
    <x:row r="228" ht="24" customHeight="1">
      <x:c r="A228" s="10"/>
      <x:c r="B228" s="10"/>
      <x:c r="C228" s="10"/>
      <x:c r="D228" s="10"/>
      <x:c r="E228" s="10"/>
      <x:c r="F228" s="10"/>
      <x:c r="G228" s="10"/>
      <x:c r="H228" s="10"/>
      <x:c r="I228" s="10"/>
      <x:c r="J228" s="10"/>
    </x:row>
    <x:row r="229" ht="24" customHeight="1">
      <x:c r="A229" s="10"/>
      <x:c r="B229" s="10"/>
      <x:c r="C229" s="10"/>
      <x:c r="D229" s="10"/>
      <x:c r="E229" s="10"/>
      <x:c r="F229" s="10"/>
      <x:c r="G229" s="10"/>
      <x:c r="H229" s="10"/>
      <x:c r="I229" s="10"/>
      <x:c r="J229" s="10"/>
    </x:row>
    <x:row r="230" ht="24" customHeight="1">
      <x:c r="A230" s="10"/>
      <x:c r="B230" s="10"/>
      <x:c r="C230" s="10"/>
      <x:c r="D230" s="10"/>
      <x:c r="E230" s="10"/>
      <x:c r="F230" s="10"/>
      <x:c r="G230" s="10"/>
      <x:c r="H230" s="10"/>
      <x:c r="I230" s="10"/>
      <x:c r="J230" s="10"/>
    </x:row>
    <x:row r="231" ht="24" customHeight="1">
      <x:c r="A231" s="10"/>
      <x:c r="B231" s="10"/>
      <x:c r="C231" s="10"/>
      <x:c r="D231" s="10"/>
      <x:c r="E231" s="10"/>
      <x:c r="F231" s="10"/>
      <x:c r="G231" s="10"/>
      <x:c r="H231" s="10"/>
      <x:c r="I231" s="10"/>
      <x:c r="J231" s="10"/>
    </x:row>
    <x:row r="232" ht="24" customHeight="1">
      <x:c r="A232" s="10"/>
      <x:c r="B232" s="10"/>
      <x:c r="C232" s="10"/>
      <x:c r="D232" s="10"/>
      <x:c r="E232" s="10"/>
      <x:c r="F232" s="10"/>
      <x:c r="G232" s="10"/>
      <x:c r="H232" s="10"/>
      <x:c r="I232" s="10"/>
      <x:c r="J232" s="10"/>
    </x:row>
    <x:row r="233" ht="24" customHeight="1">
      <x:c r="A233" s="10"/>
      <x:c r="B233" s="10"/>
      <x:c r="C233" s="10"/>
      <x:c r="D233" s="10"/>
      <x:c r="E233" s="10"/>
      <x:c r="F233" s="10"/>
      <x:c r="G233" s="10"/>
      <x:c r="H233" s="10"/>
      <x:c r="I233" s="10"/>
      <x:c r="J233" s="10"/>
    </x:row>
    <x:row r="234" ht="24" customHeight="1">
      <x:c r="A234" s="10"/>
      <x:c r="B234" s="10"/>
      <x:c r="C234" s="10"/>
      <x:c r="D234" s="10"/>
      <x:c r="E234" s="10"/>
      <x:c r="F234" s="10"/>
      <x:c r="G234" s="10"/>
      <x:c r="H234" s="10"/>
      <x:c r="I234" s="10"/>
      <x:c r="J234" s="10"/>
    </x:row>
    <x:row r="235" ht="24" customHeight="1">
      <x:c r="A235" s="10"/>
      <x:c r="B235" s="10"/>
      <x:c r="C235" s="10"/>
      <x:c r="D235" s="10"/>
      <x:c r="E235" s="10"/>
      <x:c r="F235" s="10"/>
      <x:c r="G235" s="10"/>
      <x:c r="H235" s="10"/>
      <x:c r="I235" s="10"/>
      <x:c r="J235" s="10"/>
    </x:row>
    <x:row r="236" ht="24" customHeight="1">
      <x:c r="A236" s="10"/>
      <x:c r="B236" s="10"/>
      <x:c r="C236" s="10"/>
      <x:c r="D236" s="10"/>
      <x:c r="E236" s="10"/>
      <x:c r="F236" s="10"/>
      <x:c r="G236" s="10"/>
      <x:c r="H236" s="10"/>
      <x:c r="I236" s="10"/>
      <x:c r="J236" s="10"/>
    </x:row>
    <x:row r="237" ht="24" customHeight="1">
      <x:c r="A237" s="10"/>
      <x:c r="B237" s="10"/>
      <x:c r="C237" s="10"/>
      <x:c r="D237" s="10"/>
      <x:c r="E237" s="10"/>
      <x:c r="F237" s="10"/>
      <x:c r="G237" s="10"/>
      <x:c r="H237" s="10"/>
      <x:c r="I237" s="10"/>
      <x:c r="J237" s="10"/>
    </x:row>
    <x:row r="238" ht="24" customHeight="1">
      <x:c r="A238" s="10"/>
      <x:c r="B238" s="10"/>
      <x:c r="C238" s="10"/>
      <x:c r="D238" s="10"/>
      <x:c r="E238" s="10"/>
      <x:c r="F238" s="10"/>
      <x:c r="G238" s="10"/>
      <x:c r="H238" s="10"/>
      <x:c r="I238" s="10"/>
      <x:c r="J238" s="10"/>
    </x:row>
    <x:row r="239" ht="24" customHeight="1">
      <x:c r="A239" s="10"/>
      <x:c r="B239" s="10"/>
      <x:c r="C239" s="10"/>
      <x:c r="D239" s="10"/>
      <x:c r="E239" s="10"/>
      <x:c r="F239" s="10"/>
      <x:c r="G239" s="10"/>
      <x:c r="H239" s="10"/>
      <x:c r="I239" s="10"/>
      <x:c r="J239" s="10"/>
    </x:row>
    <x:row r="240" ht="24" customHeight="1">
      <x:c r="A240" s="10"/>
      <x:c r="B240" s="10"/>
      <x:c r="C240" s="10"/>
      <x:c r="D240" s="10"/>
      <x:c r="E240" s="10"/>
      <x:c r="F240" s="10"/>
      <x:c r="G240" s="10"/>
      <x:c r="H240" s="10"/>
      <x:c r="I240" s="10"/>
      <x:c r="J240" s="10"/>
    </x:row>
    <x:row r="241" ht="24" customHeight="1">
      <x:c r="A241" s="10"/>
      <x:c r="B241" s="10"/>
      <x:c r="C241" s="10"/>
      <x:c r="D241" s="10"/>
      <x:c r="E241" s="10"/>
      <x:c r="F241" s="10"/>
      <x:c r="G241" s="10"/>
      <x:c r="H241" s="10"/>
      <x:c r="I241" s="10"/>
      <x:c r="J241" s="10"/>
    </x:row>
    <x:row r="242" ht="24" customHeight="1">
      <x:c r="A242" s="10"/>
      <x:c r="B242" s="10"/>
      <x:c r="C242" s="10"/>
      <x:c r="D242" s="10"/>
      <x:c r="E242" s="10"/>
      <x:c r="F242" s="10"/>
      <x:c r="G242" s="10"/>
      <x:c r="H242" s="10"/>
      <x:c r="I242" s="10"/>
      <x:c r="J242" s="10"/>
    </x:row>
    <x:row r="243" ht="24" customHeight="1">
      <x:c r="A243" s="10"/>
      <x:c r="B243" s="10"/>
      <x:c r="C243" s="10"/>
      <x:c r="D243" s="10"/>
      <x:c r="E243" s="10"/>
      <x:c r="F243" s="10"/>
      <x:c r="G243" s="10"/>
      <x:c r="H243" s="10"/>
      <x:c r="I243" s="10"/>
      <x:c r="J243" s="10"/>
    </x:row>
    <x:row r="244" ht="24" customHeight="1">
      <x:c r="A244" s="10"/>
      <x:c r="B244" s="10"/>
      <x:c r="C244" s="10"/>
      <x:c r="D244" s="10"/>
      <x:c r="E244" s="10"/>
      <x:c r="F244" s="10"/>
      <x:c r="G244" s="10"/>
      <x:c r="H244" s="10"/>
      <x:c r="I244" s="10"/>
      <x:c r="J244" s="10"/>
    </x:row>
    <x:row r="245" ht="24" customHeight="1">
      <x:c r="A245" s="10"/>
      <x:c r="B245" s="10"/>
      <x:c r="C245" s="10"/>
      <x:c r="D245" s="10"/>
      <x:c r="E245" s="10"/>
      <x:c r="F245" s="10"/>
      <x:c r="G245" s="10"/>
      <x:c r="H245" s="10"/>
      <x:c r="I245" s="10"/>
      <x:c r="J245" s="10"/>
    </x:row>
    <x:row r="246" ht="24" customHeight="1">
      <x:c r="A246" s="10"/>
      <x:c r="B246" s="10"/>
      <x:c r="C246" s="10"/>
      <x:c r="D246" s="10"/>
      <x:c r="E246" s="10"/>
      <x:c r="F246" s="10"/>
      <x:c r="G246" s="10"/>
      <x:c r="H246" s="10"/>
      <x:c r="I246" s="10"/>
      <x:c r="J246" s="10"/>
    </x:row>
    <x:row r="247" ht="24" customHeight="1">
      <x:c r="A247" s="10"/>
      <x:c r="B247" s="10"/>
      <x:c r="C247" s="10"/>
      <x:c r="D247" s="10"/>
      <x:c r="E247" s="10"/>
      <x:c r="F247" s="10"/>
      <x:c r="G247" s="10"/>
      <x:c r="H247" s="10"/>
      <x:c r="I247" s="10"/>
      <x:c r="J247" s="10"/>
    </x:row>
    <x:row r="248" ht="24" customHeight="1">
      <x:c r="A248" s="10"/>
      <x:c r="B248" s="10"/>
      <x:c r="C248" s="10"/>
      <x:c r="D248" s="10"/>
      <x:c r="E248" s="10"/>
      <x:c r="F248" s="10"/>
      <x:c r="G248" s="10"/>
      <x:c r="H248" s="10"/>
      <x:c r="I248" s="10"/>
      <x:c r="J248" s="10"/>
    </x:row>
    <x:row r="249" ht="24" customHeight="1">
      <x:c r="A249" s="10"/>
      <x:c r="B249" s="10"/>
      <x:c r="C249" s="10"/>
      <x:c r="D249" s="10"/>
      <x:c r="E249" s="10"/>
      <x:c r="F249" s="10"/>
      <x:c r="G249" s="10"/>
      <x:c r="H249" s="10"/>
      <x:c r="I249" s="10"/>
      <x:c r="J249" s="10"/>
    </x:row>
    <x:row r="250" ht="24" customHeight="1">
      <x:c r="A250" s="10"/>
      <x:c r="B250" s="10"/>
      <x:c r="C250" s="10"/>
      <x:c r="D250" s="10"/>
      <x:c r="E250" s="10"/>
      <x:c r="F250" s="10"/>
      <x:c r="G250" s="10"/>
      <x:c r="H250" s="10"/>
      <x:c r="I250" s="10"/>
      <x:c r="J250" s="10"/>
    </x:row>
  </x:sheetData>
  <x:mergeCells>
    <x:mergeCell ref="A1:I2"/>
    <x:mergeCell ref="A3:I4"/>
    <x:mergeCell ref="A6:I7"/>
    <x:mergeCell ref="A9:C9"/>
    <x:mergeCell ref="D9:F9"/>
    <x:mergeCell ref="G9:I9"/>
    <x:mergeCell ref="A10:C12"/>
    <x:mergeCell ref="D10:F12"/>
    <x:mergeCell ref="G10:I12"/>
    <x:mergeCell ref="A14:I16"/>
    <x:mergeCell ref="A18:C18"/>
    <x:mergeCell ref="E18:G18"/>
    <x:mergeCell ref="A25:I27"/>
    <x:mergeCell ref="A29:I30"/>
    <x:mergeCell ref="A32:I34"/>
    <x:mergeCell ref="A19:B19"/>
    <x:mergeCell ref="A20:B20"/>
    <x:mergeCell ref="A21:B21"/>
    <x:mergeCell ref="A22:B22"/>
    <x:mergeCell ref="A23:B23"/>
    <x:mergeCell ref="E19:F19"/>
    <x:mergeCell ref="E20:F20"/>
    <x:mergeCell ref="E21:F21"/>
    <x:mergeCell ref="A35:I35"/>
  </x:mergeCells>
  <x:pageMargins left="0.7" right="0.7" top="0.75" bottom="0.75" header="0.3" footer="0.3"/>
</x:worksheet>
</file>

<file path=xl/worksheets/sheet2.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3" hidden="0" customWidth="1"/>
    <x:col min="2" max="2" width="24" hidden="0" customWidth="1"/>
    <x:col min="3" max="3" width="10" hidden="0" customWidth="1"/>
    <x:col min="4" max="4" width="13" hidden="0" customWidth="1"/>
    <x:col min="5" max="5" width="33" hidden="0" customWidth="1"/>
    <x:col min="6" max="6" width="39" hidden="0" customWidth="1"/>
    <x:col min="7" max="7" width="40" hidden="0" customWidth="1"/>
    <x:col min="8" max="8" width="40" hidden="0" customWidth="1"/>
    <x:col min="9" max="9" width="38" hidden="0" customWidth="1"/>
    <x:col min="10" max="10" width="22" hidden="0" customWidth="1"/>
    <x:col min="11" max="11" width="40" hidden="0" customWidth="1"/>
  </x:cols>
  <x:sheetData>
    <x:row r="1" ht="24" customHeight="1">
      <x:c r="A1" s="140" t="str">
        <x:v>DIVA PULSE / Manquants détaillés — V36</x:v>
      </x:c>
      <x:c r="B1" s="140"/>
      <x:c r="C1" s="140"/>
      <x:c r="D1" s="140"/>
      <x:c r="E1" s="140"/>
      <x:c r="F1" s="140"/>
      <x:c r="G1" s="140"/>
      <x:c r="H1" s="140"/>
      <x:c r="I1" s="140"/>
      <x:c r="J1" s="140"/>
      <x:c r="K1" s="140"/>
    </x:row>
    <x:row r="2" ht="24" customHeight="1">
      <x:c r="A2" s="140"/>
      <x:c r="B2" s="140"/>
      <x:c r="C2" s="140"/>
      <x:c r="D2" s="140"/>
      <x:c r="E2" s="140"/>
      <x:c r="F2" s="140"/>
      <x:c r="G2" s="140"/>
      <x:c r="H2" s="140"/>
      <x:c r="I2" s="140"/>
      <x:c r="J2" s="140"/>
      <x:c r="K2" s="140"/>
    </x:row>
    <x:row r="3" ht="36" customHeight="1">
      <x:c r="A3" s="70" t="str">
        <x:v>Précontrôle des archives, restauration des records, mouvement réduit • 136 points synchronisés avec JSON/CSV ; limites et critères conservés.</x:v>
      </x:c>
      <x:c r="B3" s="70"/>
      <x:c r="C3" s="70"/>
      <x:c r="D3" s="70"/>
      <x:c r="E3" s="70"/>
      <x:c r="F3" s="70"/>
      <x:c r="G3" s="70"/>
      <x:c r="H3" s="70"/>
      <x:c r="I3" s="70"/>
      <x:c r="J3" s="70"/>
      <x:c r="K3" s="70"/>
    </x:row>
    <x:row r="4" ht="24" customHeight="1">
      <x:c r="A4" s="10"/>
      <x:c r="B4" s="10"/>
      <x:c r="C4" s="10"/>
      <x:c r="D4" s="10"/>
      <x:c r="E4" s="10"/>
      <x:c r="F4" s="10"/>
      <x:c r="G4" s="10"/>
      <x:c r="H4" s="10"/>
      <x:c r="I4" s="10"/>
      <x:c r="J4" s="10"/>
      <x:c r="K4" s="10"/>
    </x:row>
    <x:row r="5" ht="34" customHeight="1">
      <x:c r="A5" s="71" t="str">
        <x:v>ID</x:v>
      </x:c>
      <x:c r="B5" s="71" t="str">
        <x:v>Domaine</x:v>
      </x:c>
      <x:c r="C5" s="71" t="str">
        <x:v>Priorité</x:v>
      </x:c>
      <x:c r="D5" s="71" t="str">
        <x:v>Statut</x:v>
      </x:c>
      <x:c r="E5" s="71" t="str">
        <x:v>Chantier</x:v>
      </x:c>
      <x:c r="F5" s="71" t="str">
        <x:v>Constat / état initial</x:v>
      </x:c>
      <x:c r="G5" s="71" t="str">
        <x:v>Travail effectué ou restant</x:v>
      </x:c>
      <x:c r="H5" s="71" t="str">
        <x:v>Critère de validation</x:v>
      </x:c>
      <x:c r="I5" s="71" t="str">
        <x:v>Fichiers / preuves</x:v>
      </x:c>
      <x:c r="J5" s="71" t="str">
        <x:v>Dépendances</x:v>
      </x:c>
      <x:c r="K5" s="71" t="str">
        <x:v>Portée / limites</x:v>
      </x:c>
    </x:row>
    <x:row r="6" ht="110" customHeight="1">
      <x:c r="A6" s="176" t="str">
        <x:v>DIR-01</x:v>
      </x:c>
      <x:c r="B6" s="176" t="str">
        <x:v>Director</x:v>
      </x:c>
      <x:c r="C6" s="176" t="str">
        <x:v>P1</x:v>
      </x:c>
      <x:c r="D6" s="176" t="str">
        <x:v>Fait</x:v>
      </x:c>
      <x:c r="E6" s="176" t="str">
        <x:v>Sélection multiple de clips</x:v>
      </x:c>
      <x:c r="F6" s="176" t="str">
        <x:v>V29 publiée possède la sélection par cases ; ne pas confondre avec l'autre variante locale.</x:v>
      </x:c>
      <x:c r="G6" s="176" t="str">
        <x:v>Sélection multiple par cases libellées et commande Tout sélectionner ; Ctrl/Cmd+A ajouté en V30.</x:v>
      </x:c>
      <x:c r="H6" s="176" t="str">
        <x:v>Sélection de clips, caméra et lumière ; navigation native au clavier.</x:v>
      </x:c>
      <x:c r="I6" s="176" t="str">
        <x:v>src/director-app.js ; src/director-edit.js ; src/director-core.js ; AUDIT_V28.json A33</x:v>
      </x:c>
      <x:c r="J6" s="176" t="str">
        <x:v>—</x:v>
      </x:c>
      <x:c r="K6" s="176" t="str">
        <x:v>Code de main 1552fd8 conservé et tests de régression réexécutés sur la branche V30.</x:v>
      </x:c>
    </x:row>
    <x:row r="7" ht="110" customHeight="1">
      <x:c r="A7" s="18" t="str">
        <x:v>DIR-02</x:v>
      </x:c>
      <x:c r="B7" s="18" t="str">
        <x:v>Director</x:v>
      </x:c>
      <x:c r="C7" s="18" t="str">
        <x:v>P1</x:v>
      </x:c>
      <x:c r="D7" s="18" t="str">
        <x:v>Fait</x:v>
      </x:c>
      <x:c r="E7" s="18" t="str">
        <x:v>Copie et collage groupés</x:v>
      </x:c>
      <x:c r="F7" s="18" t="str">
        <x:v>Aucun presse-papiers de groupe dans la V28.</x:v>
      </x:c>
      <x:c r="G7" s="18" t="str">
        <x:v>Copier un instantané et coller au curseur sur les mêmes danseurs en conservant les écarts.</x:v>
      </x:c>
      <x:c r="H7" s="18" t="str">
        <x:v>Collage multi-danseurs ; collisions et dépassements refusés sans modification partielle.</x:v>
      </x:c>
      <x:c r="I7" s="18" t="str">
        <x:v>src/director-app.js ; src/director-edit.js ; src/director-core.js ; AUDIT_V28.json A33</x:v>
      </x:c>
      <x:c r="J7" s="18" t="str">
        <x:v>DIR-01</x:v>
      </x:c>
      <x:c r="K7" s="18" t="str">
        <x:v>Code de main 1552fd8 conservé et tests de régression réexécutés sur la branche V30.</x:v>
      </x:c>
    </x:row>
    <x:row r="8" ht="110" customHeight="1">
      <x:c r="A8" s="176" t="str">
        <x:v>DIR-03</x:v>
      </x:c>
      <x:c r="B8" s="176" t="str">
        <x:v>Director</x:v>
      </x:c>
      <x:c r="C8" s="176" t="str">
        <x:v>P1</x:v>
      </x:c>
      <x:c r="D8" s="176" t="str">
        <x:v>Fait</x:v>
      </x:c>
      <x:c r="E8" s="176" t="str">
        <x:v>Déplacement groupé et suppression</x:v>
      </x:c>
      <x:c r="F8" s="176" t="str">
        <x:v>V30 ne déplaçait par glisser qu'un clip.</x:v>
      </x:c>
      <x:c r="G8" s="176" t="str">
        <x:v>Glisser transactionnel de clips, caméra, lumière et formations. Accrochage musical du groupe ; une seule annulation ; collisions, pointercancel et perte de capture sans écriture partielle.</x:v>
      </x:c>
      <x:c r="H8" s="176" t="str">
        <x:v>Déplacements, annuler/rétablir et suppression testés ; notes inchangées.</x:v>
      </x:c>
      <x:c r="I8" s="176" t="str">
        <x:v>src/director-app.js ; src/director-workflow.js ; tests/v31.test.cjs ; tests/v31_browser_test.py ; qa/v31/</x:v>
      </x:c>
      <x:c r="J8" s="176" t="str">
        <x:v>DIR-01</x:v>
      </x:c>
      <x:c r="K8" s="176" t="str">
        <x:v>V32 native validée sur GitHub Actions 40522984445, build 22bdfe014b57. Chromium/SwiftShader ; aucun matériel physique certifié.</x:v>
      </x:c>
    </x:row>
    <x:row r="9" ht="110" customHeight="1">
      <x:c r="A9" s="18" t="str">
        <x:v>DIR-04</x:v>
      </x:c>
      <x:c r="B9" s="18" t="str">
        <x:v>Director</x:v>
      </x:c>
      <x:c r="C9" s="18" t="str">
        <x:v>P1</x:v>
      </x:c>
      <x:c r="D9" s="18" t="str">
        <x:v>Fait</x:v>
      </x:c>
      <x:c r="E9" s="18" t="str">
        <x:v>Références de sélection après tri</x:v>
      </x:c>
      <x:c r="F9" s="18" t="str">
        <x:v>La normalisation retrie les clips, rendant leurs indices périmés.</x:v>
      </x:c>
      <x:c r="G9" s="18" t="str">
        <x:v>Effacer la sélection après mutation, reprise, annuler ou rétablir.</x:v>
      </x:c>
      <x:c r="H9" s="18" t="str">
        <x:v>Aucune action ne cible l'ancien indice après normalisation.</x:v>
      </x:c>
      <x:c r="I9" s="18" t="str">
        <x:v>src/director-app.js ; src/director-edit.js ; src/director-core.js ; AUDIT_V28.json A33</x:v>
      </x:c>
      <x:c r="J9" s="18" t="str">
        <x:v>DIR-03</x:v>
      </x:c>
      <x:c r="K9" s="18" t="str">
        <x:v>Code de main 1552fd8 conservé et tests de régression réexécutés sur la branche V30.</x:v>
      </x:c>
    </x:row>
    <x:row r="10" ht="110" customHeight="1">
      <x:c r="A10" s="176" t="str">
        <x:v>DIR-05</x:v>
      </x:c>
      <x:c r="B10" s="176" t="str">
        <x:v>Director</x:v>
      </x:c>
      <x:c r="C10" s="176" t="str">
        <x:v>P1</x:v>
      </x:c>
      <x:c r="D10" s="176" t="str">
        <x:v>Partiel</x:v>
      </x:c>
      <x:c r="E10" s="176" t="str">
        <x:v>Accessibilité de la sélection</x:v>
      </x:c>
      <x:c r="F10" s="176" t="str">
        <x:v>Une manipulation uniquement par glisser exclut clavier et tactile.</x:v>
      </x:c>
      <x:c r="G10" s="176" t="str">
        <x:v>Sélection directe des blocs par clic ou Entrée ; Ctrl/Cmd/clic ajoute ou retire ; aria-pressed et contour visible. Les cases et raccourcis demeurent disponibles. Reste la qualification lecteur d'écran et tactile physique.</x:v>
      </x:c>
      <x:c r="H10" s="176" t="str">
        <x:v>Tests clavier et viewport 390×844 ; validation matérielle séparée.</x:v>
      </x:c>
      <x:c r="I10" s="176" t="str">
        <x:v>src/director-app.js ; src/director-workflow.js ; tests/v31.test.cjs ; tests/v31_browser_test.py ; qa/v31/</x:v>
      </x:c>
      <x:c r="J10" s="176" t="str">
        <x:v>DIR-01</x:v>
      </x:c>
      <x:c r="K10" s="176" t="str">
        <x:v>V32 native validée sur GitHub Actions 40522984445, build 22bdfe014b57. Chromium/SwiftShader ; aucun matériel physique certifié.</x:v>
      </x:c>
    </x:row>
    <x:row r="11" ht="110" customHeight="1">
      <x:c r="A11" s="18" t="str">
        <x:v>DIR-06</x:v>
      </x:c>
      <x:c r="B11" s="18" t="str">
        <x:v>Director</x:v>
      </x:c>
      <x:c r="C11" s="18" t="str">
        <x:v>P1</x:v>
      </x:c>
      <x:c r="D11" s="18" t="str">
        <x:v>Fait</x:v>
      </x:c>
      <x:c r="E11" s="18" t="str">
        <x:v>Copier des clés caméra et lumière</x:v>
      </x:c>
      <x:c r="F11" s="18" t="str">
        <x:v>Caméra et lumière sont bien prises en charge dans la V29 publiée.</x:v>
      </x:c>
      <x:c r="G11" s="18" t="str">
        <x:v>Conservé ; parcours mixte réexécuté en V30 avec alignement, copie/collage, suppression et annulation.</x:v>
      </x:c>
      <x:c r="H11" s="18" t="str">
        <x:v>Copier/décaler un ensemble hétérogène puis annuler sans altérer les autres clés.</x:v>
      </x:c>
      <x:c r="I11" s="18" t="str">
        <x:v>https://github.com/darknigthmare/Diva-Pulse/blob/feat/v30-director-workflow/tests/v29_browser_test.py</x:v>
      </x:c>
      <x:c r="J11" s="18" t="str">
        <x:v>DIR-02</x:v>
      </x:c>
      <x:c r="K11" s="18" t="str">
        <x:v>23 contrôles du parcours V29 sur V30, plus le nouveau parcours de 18 contrôles.</x:v>
      </x:c>
    </x:row>
    <x:row r="12" ht="110" customHeight="1">
      <x:c r="A12" s="176" t="str">
        <x:v>DIR-07</x:v>
      </x:c>
      <x:c r="B12" s="176" t="str">
        <x:v>Director</x:v>
      </x:c>
      <x:c r="C12" s="176" t="str">
        <x:v>P2</x:v>
      </x:c>
      <x:c r="D12" s="176" t="str">
        <x:v>Partiel</x:v>
      </x:c>
      <x:c r="E12" s="176" t="str">
        <x:v>Collage sur un autre danseur</x:v>
      </x:c>
      <x:c r="F12" s="176" t="str">
        <x:v>Le collage V29 préserve les emplacements d'origine.</x:v>
      </x:c>
      <x:c r="G12" s="176" t="str">
        <x:v>Choix du danseur cible et collage relatif entre danseurs de modèle identique ; identité du modèle mémorisée à la copie. Brouillon prévisualisable avant sauvegarde. Modèles différents refusés, sans retargeting supposé.</x:v>
      </x:c>
      <x:c r="H12" s="176" t="str">
        <x:v>Coller de D1 à D3 ; refuser une motion incompatible avant publication.</x:v>
      </x:c>
      <x:c r="I12" s="176" t="str">
        <x:v>src/director-app.js ; src/director-workflow.js ; tests/v31.test.cjs ; tests/v31_browser_test.py ; qa/v31/</x:v>
      </x:c>
      <x:c r="J12" s="176" t="str">
        <x:v>ANI-01</x:v>
      </x:c>
      <x:c r="K12" s="176" t="str">
        <x:v>V32 native validée sur GitHub Actions 40522984445, build 22bdfe014b57. Chromium/SwiftShader ; aucun matériel physique certifié.</x:v>
      </x:c>
    </x:row>
    <x:row r="13" ht="110" customHeight="1">
      <x:c r="A13" s="18" t="str">
        <x:v>DIR-08</x:v>
      </x:c>
      <x:c r="B13" s="18" t="str">
        <x:v>Director</x:v>
      </x:c>
      <x:c r="C13" s="18" t="str">
        <x:v>P1</x:v>
      </x:c>
      <x:c r="D13" s="18" t="str">
        <x:v>Fait</x:v>
      </x:c>
      <x:c r="E13" s="18" t="str">
        <x:v>Accrochage musical</x:v>
      </x:c>
      <x:c r="F13" s="18" t="str">
        <x:v>La V29 arrondissait à un BPM local sans intégrer la phase cumulée ni les décalages.</x:v>
      </x:c>
      <x:c r="G13" s="18" t="str">
        <x:v>Accrochage sur temps, demi-temps, quart, triolet, quatre temps ou vraie mesure. Intégration des tempos, offset et gridOffset ; alignement du groupe par son premier élément.</x:v>
      </x:c>
      <x:c r="H13" s="18" t="str">
        <x:v>Cas frontière BPM, 3/4 vers 7/8, deux offsets et bornes de durée ; écarts internes du groupe préservés.</x:v>
      </x:c>
      <x:c r="I13" s="18" t="str">
        <x:v>https://github.com/darknigthmare/Diva-Pulse/blob/feat/v30-director-workflow/src/director-workflow.js</x:v>
      </x:c>
      <x:c r="J13" s="18" t="str">
        <x:v>MAP-03</x:v>
      </x:c>
      <x:c r="K13" s="18" t="str">
        <x:v>Tests unitaires et UI ; grille quantifiée, pas un suivi de rubato continu.</x:v>
      </x:c>
    </x:row>
    <x:row r="14" ht="110" customHeight="1">
      <x:c r="A14" s="176" t="str">
        <x:v>DIR-09</x:v>
      </x:c>
      <x:c r="B14" s="176" t="str">
        <x:v>Director</x:v>
      </x:c>
      <x:c r="C14" s="176" t="str">
        <x:v>P2</x:v>
      </x:c>
      <x:c r="D14" s="176" t="str">
        <x:v>À faire</x:v>
      </x:c>
      <x:c r="E14" s="176" t="str">
        <x:v>Tangentes et courbes visuelles</x:v>
      </x:c>
      <x:c r="F14" s="176" t="str">
        <x:v>Les clés proposent des interpolations prédéfinies.</x:v>
      </x:c>
      <x:c r="G14" s="176" t="str">
        <x:v>Éditeur de courbes, poignées et visualisation des tangentes avec bornes.</x:v>
      </x:c>
      <x:c r="H14" s="176" t="str">
        <x:v>Modifier une transition caméra et reproduire son échantillonnage après export/import.</x:v>
      </x:c>
      <x:c r="I14" s="176" t="str">
        <x:v>src/director-app.js ; src/director-edit.js ; src/director-core.js ; AUDIT_V28.json A33</x:v>
      </x:c>
      <x:c r="J14" s="176" t="str">
        <x:v>DIR-06</x:v>
      </x:c>
      <x:c r="K14" s="176" t="str">
        <x:v>Non certifié ; critère à exécuter</x:v>
      </x:c>
    </x:row>
    <x:row r="15" ht="110" customHeight="1">
      <x:c r="A15" s="18" t="str">
        <x:v>DIR-10</x:v>
      </x:c>
      <x:c r="B15" s="18" t="str">
        <x:v>Director</x:v>
      </x:c>
      <x:c r="C15" s="18" t="str">
        <x:v>P1</x:v>
      </x:c>
      <x:c r="D15" s="18" t="str">
        <x:v>Fait</x:v>
      </x:c>
      <x:c r="E15" s="18" t="str">
        <x:v>Aperçu sonore synchronisé</x:v>
      </x:c>
      <x:c r="F15" s="18" t="str">
        <x:v>Écoute du brouillon par transport Web Audio indépendant, avec horloge commune au rendu et au curseur.</x:v>
      </x:c>
      <x:c r="G15" s="18" t="str">
        <x:v>Lecture/pause, arrêt, recherche pendant lecture, vitesse, volume, boucle A/B native ; nettoyage à la fermeture et garde contre un chargement périmé.</x:v>
      </x:c>
      <x:c r="H15" s="18" t="str">
        <x:v>32 contrôles du parcours V31 réussis, dont lecture, pause, reprise, recherche, vitesse, boucle et fermeture asynchrone ; aucune note ni score modifié.</x:v>
      </x:c>
      <x:c r="I15" s="18" t="str">
        <x:v>src/director-app.js ; src/director-workflow.js ; tests/v31.test.cjs ; tests/v31_browser_test.py ; qa/v31/</x:v>
      </x:c>
      <x:c r="J15" s="18" t="str">
        <x:v>PER-01</x:v>
      </x:c>
      <x:c r="K15" s="18" t="str">
        <x:v>V32 native validée sur GitHub Actions 40522984445, build 22bdfe014b57. Chromium/SwiftShader ; aucun matériel physique certifié.</x:v>
      </x:c>
    </x:row>
    <x:row r="16" ht="110" customHeight="1">
      <x:c r="A16" s="176" t="str">
        <x:v>DIR-11</x:v>
      </x:c>
      <x:c r="B16" s="176" t="str">
        <x:v>Director</x:v>
      </x:c>
      <x:c r="C16" s="176" t="str">
        <x:v>P2</x:v>
      </x:c>
      <x:c r="D16" s="176" t="str">
        <x:v>Fait</x:v>
      </x:c>
      <x:c r="E16" s="176" t="str">
        <x:v>Raccourcis de montage complets</x:v>
      </x:c>
      <x:c r="F16" s="176" t="str">
        <x:v>Le Director ne possédait pas de routeur de raccourcis contextuels.</x:v>
      </x:c>
      <x:c r="G16" s="176" t="str">
        <x:v>Ctrl/Cmd A/C/V/Z/Y/Maj+Z/S, Suppr, S, G et flèches. Champs éditables, IME, Alt et répétitions exclus ; aide affichée.</x:v>
      </x:c>
      <x:c r="H16" s="176" t="str">
        <x:v>Monter au clavier sans intercepter les champs ni les commandes hors du Director.</x:v>
      </x:c>
      <x:c r="I16" s="176" t="str">
        <x:v>https://github.com/darknigthmare/Diva-Pulse/blob/feat/v30-director-workflow/src/director-workflow.js</x:v>
      </x:c>
      <x:c r="J16" s="176" t="str">
        <x:v>UX-04</x:v>
      </x:c>
      <x:c r="K16" s="176" t="str">
        <x:v>Touches réelles Chromium ; Cmd couvert par le contrat logique, pas par un Mac physique.</x:v>
      </x:c>
    </x:row>
    <x:row r="17" ht="110" customHeight="1">
      <x:c r="A17" s="18" t="str">
        <x:v>DIR-12</x:v>
      </x:c>
      <x:c r="B17" s="18" t="str">
        <x:v>Director</x:v>
      </x:c>
      <x:c r="C17" s="18" t="str">
        <x:v>P2</x:v>
      </x:c>
      <x:c r="D17" s="18" t="str">
        <x:v>Partiel</x:v>
      </x:c>
      <x:c r="E17" s="18" t="str">
        <x:v>Déplacement des formations</x:v>
      </x:c>
      <x:c r="F17" s="18" t="str">
        <x:v>Les formations existent dans le modèle ; montage spatial limité.</x:v>
      </x:c>
      <x:c r="G17" s="18" t="str">
        <x:v>Clés de formations incluses aux groupes ; positions X/Y/Z, visibilité et lead éditables numériquement ; export/import et annulation. Poignées 3D, contacts des pieds et trajectoires avancées restent ouverts.</x:v>
      </x:c>
      <x:c r="H17" s="18" t="str">
        <x:v>Modifier une formation de quatre danseurs ; export/import et annulation fidèles.</x:v>
      </x:c>
      <x:c r="I17" s="18" t="str">
        <x:v>src/director-app.js ; src/director-workflow.js ; tests/v31.test.cjs ; tests/v31_browser_test.py ; qa/v31/</x:v>
      </x:c>
      <x:c r="J17" s="18" t="str">
        <x:v>ANI-04</x:v>
      </x:c>
      <x:c r="K17" s="18" t="str">
        <x:v>V32 native validée sur GitHub Actions 40522984445, build 22bdfe014b57. Chromium/SwiftShader ; aucun matériel physique certifié.</x:v>
      </x:c>
    </x:row>
    <x:row r="18" ht="110" customHeight="1">
      <x:c r="A18" s="176" t="str">
        <x:v>DIR-13</x:v>
      </x:c>
      <x:c r="B18" s="176" t="str">
        <x:v>Director</x:v>
      </x:c>
      <x:c r="C18" s="176" t="str">
        <x:v>P2</x:v>
      </x:c>
      <x:c r="D18" s="176" t="str">
        <x:v>Partiel</x:v>
      </x:c>
      <x:c r="E18" s="176" t="str">
        <x:v>Fusion et durée des motions</x:v>
      </x:c>
      <x:c r="F18" s="176" t="str">
        <x:v>Pas de scission sûre dans V29.</x:v>
      </x:c>
      <x:c r="G18" s="176" t="str">
        <x:v>Fusion compatible et scission au tempo variable, y compris boucles explicites en temps source. loopPhaseBeats conserve la phase sans déplacer l'origine VMD. Reste root motion et raccords visuels entre motions distinctes.</x:v>
      </x:c>
      <x:c r="H18" s="176" t="str">
        <x:v>Même temps source avant/après coupe, fusion et export/import sur plusieurs cycles et tempos. Refus atomique des phases ou fusions incohérentes.</x:v>
      </x:c>
      <x:c r="I18" s="176" t="str">
        <x:v>src/motion-sync.js ; src/director-workflow.js ; tests/v32.test.cjs ; tests/v32_browser_test.py</x:v>
      </x:c>
      <x:c r="J18" s="176" t="str">
        <x:v>ANI-04</x:v>
      </x:c>
      <x:c r="K18" s="176" t="str">
        <x:v>38 nouveaux tests V32 et parcours de phase ; root motion non implémenté.</x:v>
      </x:c>
    </x:row>
    <x:row r="19" ht="110" customHeight="1">
      <x:c r="A19" s="18" t="str">
        <x:v>DIR-14</x:v>
      </x:c>
      <x:c r="B19" s="18" t="str">
        <x:v>Director</x:v>
      </x:c>
      <x:c r="C19" s="18" t="str">
        <x:v>P2</x:v>
      </x:c>
      <x:c r="D19" s="18" t="str">
        <x:v>Partiel</x:v>
      </x:c>
      <x:c r="E19" s="18" t="str">
        <x:v>Gestes réels et perte de pointeur</x:v>
      </x:c>
      <x:c r="F19" s="18" t="str">
        <x:v>Glisser et sélection sont testés dans Chromium contrôlé.</x:v>
      </x:c>
      <x:c r="G19" s="18" t="str">
        <x:v>Le glisser groupé est testé avec souris contrôlée, annulation et collisions. Nettoyage sans écriture partielle. Tactile, stylet et multitouch physiques restent à qualifier.</x:v>
      </x:c>
      <x:c r="H19" s="18" t="str">
        <x:v>Aucune publication au cancel ; aucune sélection bloquée après interruption.</x:v>
      </x:c>
      <x:c r="I19" s="18" t="str">
        <x:v>src/director-app.js ; src/director-workflow.js ; tests/v31.test.cjs ; tests/v31_browser_test.py ; qa/v31/</x:v>
      </x:c>
      <x:c r="J19" s="18" t="str">
        <x:v>QA-03</x:v>
      </x:c>
      <x:c r="K19" s="18" t="str">
        <x:v>V32 native validée sur GitHub Actions 40522984445, build 22bdfe014b57. Chromium/SwiftShader ; aucun matériel physique certifié.</x:v>
      </x:c>
    </x:row>
    <x:row r="20" ht="110" customHeight="1">
      <x:c r="A20" s="176" t="str">
        <x:v>SAV-01</x:v>
      </x:c>
      <x:c r="B20" s="176" t="str">
        <x:v>Sauvegarde et intégrité</x:v>
      </x:c>
      <x:c r="C20" s="176" t="str">
        <x:v>P0</x:v>
      </x:c>
      <x:c r="D20" s="176" t="str">
        <x:v>Fait</x:v>
      </x:c>
      <x:c r="E20" s="176" t="str">
        <x:v>Publication Director atomique</x:v>
      </x:c>
      <x:c r="F20" s="176" t="str">
        <x:v>La V29 distante utilise un marqueur « applied » plutôt qu'une suppression du brouillon.</x:v>
      </x:c>
      <x:c r="G20" s="176" t="str">
        <x:v>Une transaction écrit la scène et le marqueur de fin ; export et récupération ignorent les marqueurs appliqués.</x:v>
      </x:c>
      <x:c r="H20" s="176" t="str">
        <x:v>Refus d'écriture : scène intacte ; réussite : aucune récupération appliquée ne réapparaît.</x:v>
      </x:c>
      <x:c r="I20" s="176" t="str">
        <x:v>src/services.js ; src/director-app.js ; src/enhancements.js ; src/reliability.js</x:v>
      </x:c>
      <x:c r="J20" s="176" t="str">
        <x:v>—</x:v>
      </x:c>
      <x:c r="K20" s="176" t="str">
        <x:v>Code de main 1552fd8 conservé et tests de régression réexécutés sur la branche V30.</x:v>
      </x:c>
    </x:row>
    <x:row r="21" ht="110" customHeight="1">
      <x:c r="A21" s="18" t="str">
        <x:v>SAV-02</x:v>
      </x:c>
      <x:c r="B21" s="18" t="str">
        <x:v>Sauvegarde et intégrité</x:v>
      </x:c>
      <x:c r="C21" s="18" t="str">
        <x:v>P1</x:v>
      </x:c>
      <x:c r="D21" s="18" t="str">
        <x:v>Fait</x:v>
      </x:c>
      <x:c r="E21" s="18" t="str">
        <x:v>Validation des suppressions atomiques</x:v>
      </x:c>
      <x:c r="F21" s="18" t="str">
        <x:v>Ancien contrat atomic limité aux écritures ; wrappers AutoShow/MMD perdaient les options de suppression.</x:v>
      </x:c>
      <x:c r="G21" s="18" t="str">
        <x:v>Contrat atomic(rows,{deletes}) validé et cloné avant mutation ; écritures et suppressions dans une transaction. Tous les wrappers transmettent les options.</x:v>
      </x:c>
      <x:c r="H21" s="18" t="str">
        <x:v>Rollback commun des données et caches ; notifications uniquement après commit ; lecture seule et conflits refusés avant écriture.</x:v>
      </x:c>
      <x:c r="I21" s="18" t="str">
        <x:v>src/services.js ; src/autoshow-app.js ; src/mmd-import-app.js ; tests/v32.test.cjs ; tests/v32_transactions_test.py</x:v>
      </x:c>
      <x:c r="J21" s="18" t="str">
        <x:v>SAV-01</x:v>
      </x:c>
      <x:c r="K21" s="18" t="str">
        <x:v>V32 native validée sur GitHub Actions 40522984445, build 22bdfe014b57. Chromium/SwiftShader ; aucun matériel physique certifié.</x:v>
      </x:c>
    </x:row>
    <x:row r="22" ht="110" customHeight="1">
      <x:c r="A22" s="176" t="str">
        <x:v>SAV-03</x:v>
      </x:c>
      <x:c r="B22" s="176" t="str">
        <x:v>Sauvegarde et intégrité</x:v>
      </x:c>
      <x:c r="C22" s="176" t="str">
        <x:v>P0</x:v>
      </x:c>
      <x:c r="D22" s="176" t="str">
        <x:v>Fait</x:v>
      </x:c>
      <x:c r="E22" s="176" t="str">
        <x:v>Persistance après fermeture réelle</x:v>
      </x:c>
      <x:c r="F22" s="176" t="str">
        <x:v>Fermeture complète puis réouverture de Chromium : preuve V29 publiée de 14 contrôles.</x:v>
      </x:c>
      <x:c r="G22" s="176" t="str">
        <x:v>Conserver et réexécuter le scénario natif dans la CI V30 ; étendre ensuite aux navigateurs et appareils physiques.</x:v>
      </x:c>
      <x:c r="H22" s="176" t="str">
        <x:v>Morceaux, blobs audio, modèles, scores et brouillons identiques après trois redémarrages.</x:v>
      </x:c>
      <x:c r="I22" s="176" t="str">
        <x:v>https://github.com/darknigthmare/Diva-Pulse/blob/1552fd8f89a27f0914a203f2d973b3beee17f4e5/qa/v29/persistence/results.json</x:v>
      </x:c>
      <x:c r="J22" s="176" t="str">
        <x:v>QA-01</x:v>
      </x:c>
      <x:c r="K22" s="176" t="str">
        <x:v>Validé sur Chromium natif dans la CI V29 ; pas une certification Safari/iOS ou d'éviction.</x:v>
      </x:c>
    </x:row>
    <x:row r="23" ht="110" customHeight="1">
      <x:c r="A23" s="18" t="str">
        <x:v>SAV-04</x:v>
      </x:c>
      <x:c r="B23" s="18" t="str">
        <x:v>Sauvegarde et intégrité</x:v>
      </x:c>
      <x:c r="C23" s="18" t="str">
        <x:v>P0</x:v>
      </x:c>
      <x:c r="D23" s="18" t="str">
        <x:v>Fait</x:v>
      </x:c>
      <x:c r="E23" s="18" t="str">
        <x:v>Coordination native multi-onglets</x:v>
      </x:c>
      <x:c r="F23" s="18" t="str">
        <x:v>Deux fenêtres avec Web Locks natifs : preuve V29 publiée de 14 contrôles.</x:v>
      </x:c>
      <x:c r="G23" s="18" t="str">
        <x:v>Conserver et réexécuter le scénario natif dans la CI V30 ; étendre ensuite aux navigateurs et appareils physiques.</x:v>
      </x:c>
      <x:c r="H23" s="18" t="str">
        <x:v>Un seul écrivain ; export autorisé en lecture seule ; récupération après fermeture du premier.</x:v>
      </x:c>
      <x:c r="I23" s="18" t="str">
        <x:v>https://github.com/darknigthmare/Diva-Pulse/blob/1552fd8f89a27f0914a203f2d973b3beee17f4e5/qa/v29/persistence/results.json</x:v>
      </x:c>
      <x:c r="J23" s="18" t="str">
        <x:v>SAV-03</x:v>
      </x:c>
      <x:c r="K23" s="18" t="str">
        <x:v>Validé sur Chromium natif dans la CI V29 ; pas une certification Safari/iOS ou d'éviction.</x:v>
      </x:c>
    </x:row>
    <x:row r="24" ht="110" customHeight="1">
      <x:c r="A24" s="176" t="str">
        <x:v>SAV-05</x:v>
      </x:c>
      <x:c r="B24" s="176" t="str">
        <x:v>Sauvegarde et intégrité</x:v>
      </x:c>
      <x:c r="C24" s="176" t="str">
        <x:v>P1</x:v>
      </x:c>
      <x:c r="D24" s="176" t="str">
        <x:v>Partiel</x:v>
      </x:c>
      <x:c r="E24" s="176" t="str">
        <x:v>Interruption d'une transaction IndexedDB</x:v>
      </x:c>
      <x:c r="F24" s="176" t="str">
        <x:v>Les tests présents couvrent mémoire et erreurs simulées, pas coupure du processus au commit.</x:v>
      </x:c>
      <x:c r="G24" s="176" t="str">
        <x:v>Abort réel après succès du premier IDBRequest, rollback des écritures/suppressions, puis nouvelle tentative et rechargement. Arrêt brutal OS/processus et éviction restent à qualifier.</x:v>
      </x:c>
      <x:c r="H24" s="176" t="str">
        <x:v>Aucune écriture ni suppression partielle après abort explicite. Le crash système est un critère distinct non validé.</x:v>
      </x:c>
      <x:c r="I24" s="176" t="str">
        <x:v>tests/v32_transactions_test.py ; qa/v32/transactions/results.json</x:v>
      </x:c>
      <x:c r="J24" s="176" t="str">
        <x:v>SAV-03</x:v>
      </x:c>
      <x:c r="K24" s="176" t="str">
        <x:v>V32 native validée sur GitHub Actions 40522984445, build 22bdfe014b57. Chromium/SwiftShader ; aucun matériel physique certifié. Abort après IDBRequest couvert ; arrêt brutal OS et éviction restent non testés.</x:v>
      </x:c>
    </x:row>
    <x:row r="25" ht="110" customHeight="1">
      <x:c r="A25" s="18" t="str">
        <x:v>SAV-06</x:v>
      </x:c>
      <x:c r="B25" s="18" t="str">
        <x:v>Sauvegarde et intégrité</x:v>
      </x:c>
      <x:c r="C25" s="18" t="str">
        <x:v>P1</x:v>
      </x:c>
      <x:c r="D25" s="18" t="str">
        <x:v>À valider</x:v>
      </x:c>
      <x:c r="E25" s="18" t="str">
        <x:v>Quota réel et éviction du navigateur</x:v>
      </x:c>
      <x:c r="F25" s="18" t="str">
        <x:v>Diagnostic et refus existent ; aucune certification sous pression de disque.</x:v>
      </x:c>
      <x:c r="G25" s="18" t="str">
        <x:v>Remplir un profil limité, refuser persist(), provoquer une erreur quota et exporter le dernier brouillon.</x:v>
      </x:c>
      <x:c r="H25" s="18" t="str">
        <x:v>Message exact ; source intacte ; export de secours utilisable après refus d'écriture.</x:v>
      </x:c>
      <x:c r="I25" s="18" t="str">
        <x:v>src/services.js ; src/director-app.js ; src/enhancements.js ; src/reliability.js</x:v>
      </x:c>
      <x:c r="J25" s="18" t="str">
        <x:v>SAV-03</x:v>
      </x:c>
      <x:c r="K25" s="18" t="str">
        <x:v>Non certifié ; critère à exécuter</x:v>
      </x:c>
    </x:row>
    <x:row r="26" ht="110" customHeight="1">
      <x:c r="A26" s="176" t="str">
        <x:v>SAV-07</x:v>
      </x:c>
      <x:c r="B26" s="176" t="str">
        <x:v>Sauvegarde et intégrité</x:v>
      </x:c>
      <x:c r="C26" s="176" t="str">
        <x:v>P1</x:v>
      </x:c>
      <x:c r="D26" s="176" t="str">
        <x:v>Fait</x:v>
      </x:c>
      <x:c r="E26" s="176" t="str">
        <x:v>Gestion des médias orphelins</x:v>
      </x:c>
      <x:c r="F26" s="176" t="str">
        <x:v>Les remplacements peuvent laisser des blobs non référencés.</x:v>
      </x:c>
      <x:c r="G26" s="176" t="str">
        <x:v>V34 : inventaire et diagnostic JSON ; sélection explicite et confirmation ; protection de tous les textes référant un média dans les morceaux, réglages, scores et brouillons en mémoire. Relecture et suppression dans une seule transaction.</x:v>
      </x:c>
      <x:c r="H26" s="176" t="str">
        <x:v>Ne supprimer que les médias sans référence dans scène, partition, voix et récupération.</x:v>
      </x:c>
      <x:c r="I26" s="176" t="str">
        <x:v>src/media-vault.js ; tests/v34.test.cjs ; tests/v34_browser_test.py ; qa/v34/vault-live/results.json</x:v>
      </x:c>
      <x:c r="J26" s="176" t="str">
        <x:v>Contrôle de références intégré (SAV-10 reste partiel pour les imports d’archives)</x:v>
      </x:c>
      <x:c r="K26" s="176" t="str">
        <x:v>Nettoyage local explicite seulement ; aucune donnée utilisateur réelle supprimée par les tests. Jusqu’à 5 000 médias, affichage par lots de 200.</x:v>
      </x:c>
    </x:row>
    <x:row r="27" ht="110" customHeight="1">
      <x:c r="A27" s="18" t="str">
        <x:v>SAV-08</x:v>
      </x:c>
      <x:c r="B27" s="18" t="str">
        <x:v>Sauvegarde et intégrité</x:v>
      </x:c>
      <x:c r="C27" s="18" t="str">
        <x:v>P1</x:v>
      </x:c>
      <x:c r="D27" s="18" t="str">
        <x:v>À valider</x:v>
      </x:c>
      <x:c r="E27" s="18" t="str">
        <x:v>Références et brouillons inter-versions</x:v>
      </x:c>
      <x:c r="F27" s="18" t="str">
        <x:v>Plusieurs formats de sauvegarde coexistent et le schéma de bibliothèque reste V5.</x:v>
      </x:c>
      <x:c r="G27" s="18" t="str">
        <x:v>Construire matrice V22–V29, conserver les octets sources et tester restauration en copies. V32 : schéma Director 20 réservé aux phases de boucle ; refus des phases déguisées en V19. La matrice complète des anciennes bibliothèques reste à exécuter.</x:v>
      </x:c>
      <x:c r="H27" s="18" t="str">
        <x:v>Aucune perte silencieuse de champ ; format non pris en charge signalé sans modifier la source.</x:v>
      </x:c>
      <x:c r="I27" s="18" t="str">
        <x:v>src/services.js ; src/director-app.js ; src/enhancements.js ; src/reliability.js</x:v>
      </x:c>
      <x:c r="J27" s="18" t="str">
        <x:v>—</x:v>
      </x:c>
      <x:c r="K27" s="18" t="str">
        <x:v>Non certifié ; critère à exécuter</x:v>
      </x:c>
    </x:row>
    <x:row r="28" ht="110" customHeight="1">
      <x:c r="A28" s="176" t="str">
        <x:v>SAV-09</x:v>
      </x:c>
      <x:c r="B28" s="176" t="str">
        <x:v>Sauvegarde et intégrité</x:v>
      </x:c>
      <x:c r="C28" s="176" t="str">
        <x:v>P1</x:v>
      </x:c>
      <x:c r="D28" s="176" t="str">
        <x:v>À valider</x:v>
      </x:c>
      <x:c r="E28" s="176" t="str">
        <x:v>Rollback d'un remplacement GLB</x:v>
      </x:c>
      <x:c r="F28" s="176" t="str">
        <x:v>A07 garde une validation partielle du remplacement graphique.</x:v>
      </x:c>
      <x:c r="G28" s="176" t="str">
        <x:v>Simuler chargement GPU échoué et écriture refusée en plein remplacement.</x:v>
      </x:c>
      <x:c r="H28" s="176" t="str">
        <x:v>Ancien modèle et scène rendus à nouveau ; nouveau blob non publié comme valide.</x:v>
      </x:c>
      <x:c r="I28" s="176" t="str">
        <x:v>src/services.js ; src/director-app.js ; src/enhancements.js ; src/reliability.js</x:v>
      </x:c>
      <x:c r="J28" s="176" t="str">
        <x:v>MMD-15</x:v>
      </x:c>
      <x:c r="K28" s="176" t="str">
        <x:v>Non certifié ; critère à exécuter</x:v>
      </x:c>
    </x:row>
    <x:row r="29" ht="110" hidden="0" customHeight="1">
      <x:c r="A29" s="18" t="str">
        <x:v>SAV-10</x:v>
      </x:c>
      <x:c r="B29" s="18" t="str">
        <x:v>Sauvegarde et intégrité</x:v>
      </x:c>
      <x:c r="C29" s="18" t="str">
        <x:v>P1</x:v>
      </x:c>
      <x:c r="D29" s="18" t="str">
        <x:v>Fait</x:v>
      </x:c>
      <x:c r="E29" s="18" t="str">
        <x:v>Contrôle de référence de sauvegarde</x:v>
      </x:c>
      <x:c r="F29" s="18" t="str">
        <x:v>Les contrôles existent mais doivent couvrir tous les liens nouveaux.</x:v>
      </x:c>
      <x:c r="G29" s="18" t="str">
        <x:v>V34 fournit l’inventaire des liens et un diagnostic exportable ; une incohérence bloque le nettoyage. V36 prévalide les identités, destinations, propriétaires et références requises des archives .pulsepack/.pulsebundle, dont les modèles, motions et première caméra du pack MMD réellement chargé. Conflits et références invalides sont refusés avant confirmation ou écriture. Restauration en copies, abandon natif et réouverture complète sont vérifiés ; les brouillons récupérables sont préservés.</x:v>
      </x:c>
      <x:c r="H29" s="18" t="str">
        <x:v>Archive avec référence absente/dupliquée refusée avant toute écriture ; rapport précis.</x:v>
      </x:c>
      <x:c r="I29" s="18" t="str">
        <x:v>src/services.js ; src/director-app.js ; src/enhancements.js ; src/reliability.js ; src/media-vault.js ; tests/v34.test.cjs ; V36 : src/bundle-core.js ; src/enhancements.js ; tests/archive-integrity.test.cjs ; tests/v36_archive_browser.py ; qa/v36/archive/results.json ; docs/V36_ARCHIVES_SCENE_CALME.md</x:v>
      </x:c>
      <x:c r="J29" s="18" t="str">
        <x:v>SAV-08</x:v>
      </x:c>
      <x:c r="K29" s="18" t="str">
        <x:v>Validé pour les archives bibliothèque 2–5 et les références explicites du schéma courant. Médias synthétiques ; codecs/MMD complets, quotas/éviction, 1 Gio, Safari et appareils physiques non qualifiés. Les brouillons d’anciens packs restent séparés ; SAV-08 reste ouvert.</x:v>
      </x:c>
    </x:row>
    <x:row r="30" ht="110" customHeight="1">
      <x:c r="A30" s="176" t="str">
        <x:v>SAV-11</x:v>
      </x:c>
      <x:c r="B30" s="176" t="str">
        <x:v>Sauvegarde et intégrité</x:v>
      </x:c>
      <x:c r="C30" s="176" t="str">
        <x:v>P2</x:v>
      </x:c>
      <x:c r="D30" s="176" t="str">
        <x:v>À faire</x:v>
      </x:c>
      <x:c r="E30" s="176" t="str">
        <x:v>Sauvegardes planifiées dans l'application</x:v>
      </x:c>
      <x:c r="F30" s="176" t="str">
        <x:v>L'export reste une action manuelle ; pas de cloud automatique.</x:v>
      </x:c>
      <x:c r="G30" s="176" t="str">
        <x:v>Ajouter rappel local configurable et date de dernier export vérifié ; aucune exfiltration.</x:v>
      </x:c>
      <x:c r="H30" s="176" t="str">
        <x:v>Rappel désactivable, pas d'export silencieux de médias ni fausse promesse cloud.</x:v>
      </x:c>
      <x:c r="I30" s="176" t="str">
        <x:v>src/services.js ; src/director-app.js ; src/enhancements.js ; src/reliability.js</x:v>
      </x:c>
      <x:c r="J30" s="176" t="str">
        <x:v>SAV-08</x:v>
      </x:c>
      <x:c r="K30" s="176" t="str">
        <x:v>Non certifié ; critère à exécuter</x:v>
      </x:c>
    </x:row>
    <x:row r="31" ht="110" customHeight="1">
      <x:c r="A31" s="18" t="str">
        <x:v>MMD-01</x:v>
      </x:c>
      <x:c r="B31" s="18" t="str">
        <x:v>MMD et rendu</x:v>
      </x:c>
      <x:c r="C31" s="18" t="str">
        <x:v>P1</x:v>
      </x:c>
      <x:c r="D31" s="18" t="str">
        <x:v>Partiel</x:v>
      </x:c>
      <x:c r="E31" s="18" t="str">
        <x:v>Physique rigide de référence</x:v>
      </x:c>
      <x:c r="F31" s="18" t="str">
        <x:v>Le solveur secondaire natif n'est pas Bullet et utilise des approximations.</x:v>
      </x:c>
      <x:c r="G31" s="18" t="str">
        <x:v>Choisir un moteur et établir une comparaison documentée par modèle et articulation.</x:v>
      </x:c>
      <x:c r="H31" s="18" t="str">
        <x:v>Pendules, cheveux et accessoires comparés à une référence ; budgets et écarts publiés.</x:v>
      </x:c>
      <x:c r="I31" s="18" t="str">
        <x:v>src/mmd-core.js ; src/mmd-compat.js ; src/mmd-surface.js ; src/skinning.js ; src/stage.js ; AUDIT_V28.json A13–A24</x:v>
      </x:c>
      <x:c r="J31" s="18" t="str">
        <x:v>PER-02</x:v>
      </x:c>
      <x:c r="K31" s="18" t="str">
        <x:v>Non certifié ; critère à exécuter</x:v>
      </x:c>
    </x:row>
    <x:row r="32" ht="110" customHeight="1">
      <x:c r="A32" s="176" t="str">
        <x:v>MMD-02</x:v>
      </x:c>
      <x:c r="B32" s="176" t="str">
        <x:v>MMD et rendu</x:v>
      </x:c>
      <x:c r="C32" s="176" t="str">
        <x:v>P1</x:v>
      </x:c>
      <x:c r="D32" s="176" t="str">
        <x:v>À faire</x:v>
      </x:c>
      <x:c r="E32" s="176" t="str">
        <x:v>Corps souples et tissus</x:v>
      </x:c>
      <x:c r="F32" s="176" t="str">
        <x:v>Les corps souples ne sont pas simulés.</x:v>
      </x:c>
      <x:c r="G32" s="176" t="str">
        <x:v>Définir format, solveur, collisions et mode de repli sans promettre un vêtement universel.</x:v>
      </x:c>
      <x:c r="H32" s="176" t="str">
        <x:v>Tissu de diagnostic stable sous gravité, collision et changement de cadence.</x:v>
      </x:c>
      <x:c r="I32" s="176" t="str">
        <x:v>src/mmd-core.js ; src/mmd-compat.js ; src/mmd-surface.js ; src/skinning.js ; src/stage.js ; AUDIT_V28.json A13–A24</x:v>
      </x:c>
      <x:c r="J32" s="176" t="str">
        <x:v>MMD-01</x:v>
      </x:c>
      <x:c r="K32" s="176" t="str">
        <x:v>Non certifié ; critère à exécuter</x:v>
      </x:c>
    </x:row>
    <x:row r="33" ht="110" customHeight="1">
      <x:c r="A33" s="18" t="str">
        <x:v>MMD-03</x:v>
      </x:c>
      <x:c r="B33" s="18" t="str">
        <x:v>MMD et rendu</x:v>
      </x:c>
      <x:c r="C33" s="18" t="str">
        <x:v>P1</x:v>
      </x:c>
      <x:c r="D33" s="18" t="str">
        <x:v>Partiel</x:v>
      </x:c>
      <x:c r="E33" s="18" t="str">
        <x:v>Héritages locaux et monde</x:v>
      </x:c>
      <x:c r="F33" s="18" t="str">
        <x:v>Les héritages standards sont présents ; combinaisons avancées incomplètes.</x:v>
      </x:c>
      <x:c r="G33" s="18" t="str">
        <x:v>Ajouter cas d'axes locaux, contraintes fixes et ordre avant/après IK et physique.</x:v>
      </x:c>
      <x:c r="H33" s="18" t="str">
        <x:v>Corpus d'os hiérarchiques avec transformations attendues et absence de cycles.</x:v>
      </x:c>
      <x:c r="I33" s="18" t="str">
        <x:v>src/mmd-core.js ; src/mmd-compat.js ; src/mmd-surface.js ; src/skinning.js ; src/stage.js ; AUDIT_V28.json A13–A24</x:v>
      </x:c>
      <x:c r="J33" s="18" t="str">
        <x:v>MMD-01</x:v>
      </x:c>
      <x:c r="K33" s="18" t="str">
        <x:v>Non certifié ; critère à exécuter</x:v>
      </x:c>
    </x:row>
    <x:row r="34" ht="110" customHeight="1">
      <x:c r="A34" s="176" t="str">
        <x:v>MMD-04</x:v>
      </x:c>
      <x:c r="B34" s="176" t="str">
        <x:v>MMD et rendu</x:v>
      </x:c>
      <x:c r="C34" s="176" t="str">
        <x:v>P1</x:v>
      </x:c>
      <x:c r="D34" s="176" t="str">
        <x:v>Partiel</x:v>
      </x:c>
      <x:c r="E34" s="176" t="str">
        <x:v>Contraintes IK complexes</x:v>
      </x:c>
      <x:c r="F34" s="176" t="str">
        <x:v>IK et limites existent avec plafonds ; fidélité complète non acquise.</x:v>
      </x:c>
      <x:c r="G34" s="176" t="str">
        <x:v>Traiter axes, limites angulaires, ordre de résolution et convergence difficile.</x:v>
      </x:c>
      <x:c r="H34" s="176" t="str">
        <x:v>Pied/genou/coude restent dans leurs limites sur poses extrêmes et corps importés.</x:v>
      </x:c>
      <x:c r="I34" s="176" t="str">
        <x:v>src/mmd-core.js ; src/mmd-compat.js ; src/mmd-surface.js ; src/skinning.js ; src/stage.js ; AUDIT_V28.json A13–A24</x:v>
      </x:c>
      <x:c r="J34" s="176" t="str">
        <x:v>MMD-03</x:v>
      </x:c>
      <x:c r="K34" s="176" t="str">
        <x:v>Non certifié ; critère à exécuter</x:v>
      </x:c>
    </x:row>
    <x:row r="35" ht="110" customHeight="1">
      <x:c r="A35" s="18" t="str">
        <x:v>MMD-05</x:v>
      </x:c>
      <x:c r="B35" s="18" t="str">
        <x:v>MMD et rendu</x:v>
      </x:c>
      <x:c r="C35" s="18" t="str">
        <x:v>P1</x:v>
      </x:c>
      <x:c r="D35" s="18" t="str">
        <x:v>À valider</x:v>
      </x:c>
      <x:c r="E35" s="18" t="str">
        <x:v>SDEF sur squelettes complexes</x:v>
      </x:c>
      <x:c r="F35" s="18" t="str">
        <x:v>Calcul SDEF CPU/GPU testé sur diagnostics, pas tous les personnages.</x:v>
      </x:c>
      <x:c r="G35" s="18" t="str">
        <x:v>Ajouter des modèles autorisés de torsion et comparer à des références de déformation.</x:v>
      </x:c>
      <x:c r="H35" s="18" t="str">
        <x:v>Écarts numériques bornés et captures de la même pose sur chaque modèle.</x:v>
      </x:c>
      <x:c r="I35" s="18" t="str">
        <x:v>src/mmd-core.js ; src/mmd-compat.js ; src/mmd-surface.js ; src/skinning.js ; src/stage.js ; AUDIT_V28.json A13–A24</x:v>
      </x:c>
      <x:c r="J35" s="18" t="str">
        <x:v>MMD-14</x:v>
      </x:c>
      <x:c r="K35" s="18" t="str">
        <x:v>Non certifié ; critère à exécuter</x:v>
      </x:c>
    </x:row>
    <x:row r="36" ht="110" customHeight="1">
      <x:c r="A36" s="176" t="str">
        <x:v>MMD-06</x:v>
      </x:c>
      <x:c r="B36" s="176" t="str">
        <x:v>MMD et rendu</x:v>
      </x:c>
      <x:c r="C36" s="176" t="str">
        <x:v>P1</x:v>
      </x:c>
      <x:c r="D36" s="176" t="str">
        <x:v>À valider</x:v>
      </x:c>
      <x:c r="E36" s="176" t="str">
        <x:v>QDEF et transformations non rigides</x:v>
      </x:c>
      <x:c r="F36" s="176" t="str">
        <x:v>QDEF quatre influences est implémenté ; cas complexes non certifiés.</x:v>
      </x:c>
      <x:c r="G36" s="176" t="str">
        <x:v>Tester poids extrêmes, échelles non uniformes et héritages non rigides.</x:v>
      </x:c>
      <x:c r="H36" s="176" t="str">
        <x:v>Normales et positions valides ; cas non supportés explicitement détectés.</x:v>
      </x:c>
      <x:c r="I36" s="176" t="str">
        <x:v>src/mmd-core.js ; src/mmd-compat.js ; src/mmd-surface.js ; src/skinning.js ; src/stage.js ; AUDIT_V28.json A13–A24</x:v>
      </x:c>
      <x:c r="J36" s="176" t="str">
        <x:v>MMD-14</x:v>
      </x:c>
      <x:c r="K36" s="176" t="str">
        <x:v>Non certifié ; critère à exécuter</x:v>
      </x:c>
    </x:row>
    <x:row r="37" ht="110" customHeight="1">
      <x:c r="A37" s="18" t="str">
        <x:v>MMD-07</x:v>
      </x:c>
      <x:c r="B37" s="18" t="str">
        <x:v>MMD et rendu</x:v>
      </x:c>
      <x:c r="C37" s="18" t="str">
        <x:v>P1</x:v>
      </x:c>
      <x:c r="D37" s="18" t="str">
        <x:v>Partiel</x:v>
      </x:c>
      <x:c r="E37" s="18" t="str">
        <x:v>Interpolation VMD exhaustive</x:v>
      </x:c>
      <x:c r="F37" s="18" t="str">
        <x:v>Mouvements et caméra VMD sont présents ; couverture de toutes les variantes à compléter.</x:v>
      </x:c>
      <x:c r="G37" s="18" t="str">
        <x:v>Établir des fixtures de courbes Bézier, axes et paramètres caméra/lumière.</x:v>
      </x:c>
      <x:c r="H37" s="18" t="str">
        <x:v>Échantillons comparés à une référence indépendante à plusieurs instants.</x:v>
      </x:c>
      <x:c r="I37" s="18" t="str">
        <x:v>src/mmd-core.js ; src/mmd-compat.js ; src/mmd-surface.js ; src/skinning.js ; src/stage.js ; AUDIT_V28.json A13–A24</x:v>
      </x:c>
      <x:c r="J37" s="18" t="str">
        <x:v>MMD-14</x:v>
      </x:c>
      <x:c r="K37" s="18" t="str">
        <x:v>Non certifié ; critère à exécuter</x:v>
      </x:c>
    </x:row>
    <x:row r="38" ht="110" customHeight="1">
      <x:c r="A38" s="176" t="str">
        <x:v>MMD-08</x:v>
      </x:c>
      <x:c r="B38" s="176" t="str">
        <x:v>MMD et rendu</x:v>
      </x:c>
      <x:c r="C38" s="176" t="str">
        <x:v>P2</x:v>
      </x:c>
      <x:c r="D38" s="176" t="str">
        <x:v>Partiel</x:v>
      </x:c>
      <x:c r="E38" s="176" t="str">
        <x:v>Matériaux et transparence</x:v>
      </x:c>
      <x:c r="F38" s="176" t="str">
        <x:v>Toon, sphères et matériaux sont partiels.</x:v>
      </x:c>
      <x:c r="G38" s="176" t="str">
        <x:v>Matrice diffuse/alpha/culling/sphere/toon, ordre des surfaces et conflits de profondeur.</x:v>
      </x:c>
      <x:c r="H38" s="176" t="str">
        <x:v>Captures transparentes sans disparition ; avertissement pour chaque effet ignoré.</x:v>
      </x:c>
      <x:c r="I38" s="176" t="str">
        <x:v>src/mmd-core.js ; src/mmd-compat.js ; src/mmd-surface.js ; src/skinning.js ; src/stage.js ; AUDIT_V28.json A13–A24</x:v>
      </x:c>
      <x:c r="J38" s="176" t="str">
        <x:v>MMD-14</x:v>
      </x:c>
      <x:c r="K38" s="176" t="str">
        <x:v>Non certifié ; critère à exécuter</x:v>
      </x:c>
    </x:row>
    <x:row r="39" ht="110" customHeight="1">
      <x:c r="A39" s="18" t="str">
        <x:v>MMD-09</x:v>
      </x:c>
      <x:c r="B39" s="18" t="str">
        <x:v>MMD et rendu</x:v>
      </x:c>
      <x:c r="C39" s="18" t="str">
        <x:v>P2</x:v>
      </x:c>
      <x:c r="D39" s="18" t="str">
        <x:v>À faire</x:v>
      </x:c>
      <x:c r="E39" s="18" t="str">
        <x:v>Contours paramétrés</x:v>
      </x:c>
      <x:c r="F39" s="18" t="str">
        <x:v>Les contours et interactions de matériaux ne sont pas certifiés exhaustivement.</x:v>
      </x:c>
      <x:c r="G39" s="18" t="str">
        <x:v>Valider largeur, couleur, masques et rendu selon distance et résolution.</x:v>
      </x:c>
      <x:c r="H39" s="18" t="str">
        <x:v>Silhouette cohérente proche/loin et sur plusieurs morphs de matériau.</x:v>
      </x:c>
      <x:c r="I39" s="18" t="str">
        <x:v>src/mmd-core.js ; src/mmd-compat.js ; src/mmd-surface.js ; src/skinning.js ; src/stage.js ; AUDIT_V28.json A13–A24</x:v>
      </x:c>
      <x:c r="J39" s="18" t="str">
        <x:v>MMD-08</x:v>
      </x:c>
      <x:c r="K39" s="18" t="str">
        <x:v>Non certifié ; critère à exécuter</x:v>
      </x:c>
    </x:row>
    <x:row r="40" ht="110" customHeight="1">
      <x:c r="A40" s="176" t="str">
        <x:v>MMD-10</x:v>
      </x:c>
      <x:c r="B40" s="176" t="str">
        <x:v>MMD et rendu</x:v>
      </x:c>
      <x:c r="C40" s="176" t="str">
        <x:v>P2</x:v>
      </x:c>
      <x:c r="D40" s="176" t="str">
        <x:v>À faire</x:v>
      </x:c>
      <x:c r="E40" s="176" t="str">
        <x:v>Effets MME explicitement supportés</x:v>
      </x:c>
      <x:c r="F40" s="176" t="str">
        <x:v>Pas d'exécution générale des effets MME.</x:v>
      </x:c>
      <x:c r="G40" s="176" t="str">
        <x:v>Définir un sous-ensemble sûr, des équivalents visuels et un diagnostic pour le reste.</x:v>
      </x:c>
      <x:c r="H40" s="176" t="str">
        <x:v>Aucun effet arbitraire exécuté ; liste honnête des rendus pris en charge.</x:v>
      </x:c>
      <x:c r="I40" s="176" t="str">
        <x:v>src/mmd-core.js ; src/mmd-compat.js ; src/mmd-surface.js ; src/skinning.js ; src/stage.js ; AUDIT_V28.json A13–A24</x:v>
      </x:c>
      <x:c r="J40" s="176" t="str">
        <x:v>MMD-08</x:v>
      </x:c>
      <x:c r="K40" s="176" t="str">
        <x:v>Non certifié ; critère à exécuter</x:v>
      </x:c>
    </x:row>
    <x:row r="41" ht="110" customHeight="1">
      <x:c r="A41" s="18" t="str">
        <x:v>MMD-11</x:v>
      </x:c>
      <x:c r="B41" s="18" t="str">
        <x:v>MMD et rendu</x:v>
      </x:c>
      <x:c r="C41" s="18" t="str">
        <x:v>P1</x:v>
      </x:c>
      <x:c r="D41" s="18" t="str">
        <x:v>À valider</x:v>
      </x:c>
      <x:c r="E41" s="18" t="str">
        <x:v>Chemins et noms de texture multilingues</x:v>
      </x:c>
      <x:c r="F41" s="18" t="str">
        <x:v>Import de dossiers et résolution de chemins existent.</x:v>
      </x:c>
      <x:c r="G41" s="18" t="str">
        <x:v>Tester Unicode, casse, espaces, noms japonais, séparateurs et collisions de noms.</x:v>
      </x:c>
      <x:c r="H41" s="18" t="str">
        <x:v>Textures correctement reliées ou manquantes explicitement signalées.</x:v>
      </x:c>
      <x:c r="I41" s="18" t="str">
        <x:v>src/mmd-core.js ; src/mmd-compat.js ; src/mmd-surface.js ; src/skinning.js ; src/stage.js ; AUDIT_V28.json A13–A24</x:v>
      </x:c>
      <x:c r="J41" s="18" t="str">
        <x:v>MMD-14</x:v>
      </x:c>
      <x:c r="K41" s="18" t="str">
        <x:v>Non certifié ; critère à exécuter</x:v>
      </x:c>
    </x:row>
    <x:row r="42" ht="110" customHeight="1">
      <x:c r="A42" s="176" t="str">
        <x:v>MMD-12</x:v>
      </x:c>
      <x:c r="B42" s="176" t="str">
        <x:v>MMD et rendu</x:v>
      </x:c>
      <x:c r="C42" s="176" t="str">
        <x:v>P1</x:v>
      </x:c>
      <x:c r="D42" s="176" t="str">
        <x:v>À valider</x:v>
      </x:c>
      <x:c r="E42" s="176" t="str">
        <x:v>Médias corrompus et tailles extrêmes</x:v>
      </x:c>
      <x:c r="F42" s="176" t="str">
        <x:v>Les parseurs ont des limites, mais corpus hostile incomplet.</x:v>
      </x:c>
      <x:c r="G42" s="176" t="str">
        <x:v>Ajouter fichiers tronqués, dimensions énormes et compteurs incohérents aux tests.</x:v>
      </x:c>
      <x:c r="H42" s="176" t="str">
        <x:v>Refus borné en temps/mémoire ; aucun crash du rendu ni écriture partielle.</x:v>
      </x:c>
      <x:c r="I42" s="176" t="str">
        <x:v>src/mmd-core.js ; src/mmd-compat.js ; src/mmd-surface.js ; src/skinning.js ; src/stage.js ; AUDIT_V28.json A13–A24</x:v>
      </x:c>
      <x:c r="J42" s="176" t="str">
        <x:v>PER-03</x:v>
      </x:c>
      <x:c r="K42" s="176" t="str">
        <x:v>Non certifié ; critère à exécuter</x:v>
      </x:c>
    </x:row>
    <x:row r="43" ht="110" customHeight="1">
      <x:c r="A43" s="18" t="str">
        <x:v>MMD-13</x:v>
      </x:c>
      <x:c r="B43" s="18" t="str">
        <x:v>MMD et rendu</x:v>
      </x:c>
      <x:c r="C43" s="18" t="str">
        <x:v>P1</x:v>
      </x:c>
      <x:c r="D43" s="18" t="str">
        <x:v>Partiel</x:v>
      </x:c>
      <x:c r="E43" s="18" t="str">
        <x:v>Diagnostic par fonction et par modèle</x:v>
      </x:c>
      <x:c r="F43" s="18" t="str">
        <x:v>Un diagnostic existe ; aucun feu vert universel possible.</x:v>
      </x:c>
      <x:c r="G43" s="18" t="str">
        <x:v>Distinguer importé, rendu, animé, physique et effets ; exposer les fonctions ignorées.</x:v>
      </x:c>
      <x:c r="H43" s="18" t="str">
        <x:v>Un fichier accepté ne s'affiche jamais comme entièrement compatible par défaut.</x:v>
      </x:c>
      <x:c r="I43" s="18" t="str">
        <x:v>src/mmd-core.js ; src/mmd-compat.js ; src/mmd-surface.js ; src/skinning.js ; src/stage.js ; AUDIT_V28.json A13–A24</x:v>
      </x:c>
      <x:c r="J43" s="18" t="str">
        <x:v>MMD-14</x:v>
      </x:c>
      <x:c r="K43" s="18" t="str">
        <x:v>Non certifié ; critère à exécuter</x:v>
      </x:c>
    </x:row>
    <x:row r="44" ht="110" customHeight="1">
      <x:c r="A44" s="176" t="str">
        <x:v>MMD-14</x:v>
      </x:c>
      <x:c r="B44" s="176" t="str">
        <x:v>MMD et rendu</x:v>
      </x:c>
      <x:c r="C44" s="176" t="str">
        <x:v>P0</x:v>
      </x:c>
      <x:c r="D44" s="176" t="str">
        <x:v>À faire</x:v>
      </x:c>
      <x:c r="E44" s="176" t="str">
        <x:v>Corpus MMD autorisé et représentatif</x:v>
      </x:c>
      <x:c r="F44" s="176" t="str">
        <x:v>Le projet embarque principalement des fixtures techniques originales.</x:v>
      </x:c>
      <x:c r="G44" s="176" t="str">
        <x:v>Réunir modèles PMX/PMD de tailles et rigs variés avec provenance et autorisation de test.</x:v>
      </x:c>
      <x:c r="H44" s="176" t="str">
        <x:v>Fiche par modèle, licence, empreinte, résultat de rendu/animation/physique et limitations.</x:v>
      </x:c>
      <x:c r="I44" s="176" t="str">
        <x:v>src/mmd-core.js ; src/mmd-compat.js ; src/mmd-surface.js ; src/skinning.js ; src/stage.js ; AUDIT_V28.json A13–A24</x:v>
      </x:c>
      <x:c r="J44" s="176" t="str">
        <x:v>PUB-05</x:v>
      </x:c>
      <x:c r="K44" s="176" t="str">
        <x:v>Non certifié ; critère à exécuter</x:v>
      </x:c>
    </x:row>
    <x:row r="45" ht="110" customHeight="1">
      <x:c r="A45" s="18" t="str">
        <x:v>MMD-15</x:v>
      </x:c>
      <x:c r="B45" s="18" t="str">
        <x:v>MMD et rendu</x:v>
      </x:c>
      <x:c r="C45" s="18" t="str">
        <x:v>P1</x:v>
      </x:c>
      <x:c r="D45" s="18" t="str">
        <x:v>À valider</x:v>
      </x:c>
      <x:c r="E45" s="18" t="str">
        <x:v>Ressources GPU et perte de contexte</x:v>
      </x:c>
      <x:c r="F45" s="18" t="str">
        <x:v>Chargements et libérations existent ; durée d'usage réelle non certifiée.</x:v>
      </x:c>
      <x:c r="G45" s="18" t="str">
        <x:v>Boucler import/remplacement, forcer contextlost/contextrestored et mesurer les ressources.</x:v>
      </x:c>
      <x:c r="H45" s="18" t="str">
        <x:v>Aucune croissance non bornée ; repli lisible et retour au modèle valide.</x:v>
      </x:c>
      <x:c r="I45" s="18" t="str">
        <x:v>src/mmd-core.js ; src/mmd-compat.js ; src/mmd-surface.js ; src/skinning.js ; src/stage.js ; AUDIT_V28.json A13–A24</x:v>
      </x:c>
      <x:c r="J45" s="18" t="str">
        <x:v>PER-02</x:v>
      </x:c>
      <x:c r="K45" s="18" t="str">
        <x:v>Non certifié ; critère à exécuter</x:v>
      </x:c>
    </x:row>
    <x:row r="46" ht="110" customHeight="1">
      <x:c r="A46" s="176" t="str">
        <x:v>MMD-16</x:v>
      </x:c>
      <x:c r="B46" s="176" t="str">
        <x:v>MMD et rendu</x:v>
      </x:c>
      <x:c r="C46" s="176" t="str">
        <x:v>P1</x:v>
      </x:c>
      <x:c r="D46" s="176" t="str">
        <x:v>À valider</x:v>
      </x:c>
      <x:c r="E46" s="176" t="str">
        <x:v>Quatre modèles lourds en scène</x:v>
      </x:c>
      <x:c r="F46" s="176" t="str">
        <x:v>Jusqu'à quatre danseurs sont possibles mais sans budget matériel certifié.</x:v>
      </x:c>
      <x:c r="G46" s="176" t="str">
        <x:v>Mesurer décodage, animation, skinning, draw calls et RAM sur appareils cibles.</x:v>
      </x:c>
      <x:c r="H46" s="176" t="str">
        <x:v>Budget par palier ; baisse de qualité sans désynchroniser le rythme.</x:v>
      </x:c>
      <x:c r="I46" s="176" t="str">
        <x:v>src/mmd-core.js ; src/mmd-compat.js ; src/mmd-surface.js ; src/skinning.js ; src/stage.js ; AUDIT_V28.json A13–A24</x:v>
      </x:c>
      <x:c r="J46" s="176" t="str">
        <x:v>PER-02</x:v>
      </x:c>
      <x:c r="K46" s="176" t="str">
        <x:v>Non certifié ; critère à exécuter</x:v>
      </x:c>
    </x:row>
    <x:row r="47" ht="110" customHeight="1">
      <x:c r="A47" s="18" t="str">
        <x:v>ANI-01</x:v>
      </x:c>
      <x:c r="B47" s="18" t="str">
        <x:v>Animation et Auto Show</x:v>
      </x:c>
      <x:c r="C47" s="18" t="str">
        <x:v>P1</x:v>
      </x:c>
      <x:c r="D47" s="18" t="str">
        <x:v>À faire</x:v>
      </x:c>
      <x:c r="E47" s="18" t="str">
        <x:v>Mapping d'os éditable</x:v>
      </x:c>
      <x:c r="F47" s="18" t="str">
        <x:v>Pas de retargeting universel ; la reconnaissance procédurale couvre un sous-ensemble.</x:v>
      </x:c>
      <x:c r="G47" s="18" t="str">
        <x:v>Éditeur source/cible avec alias, pose neutre et prévisualisation par os.</x:v>
      </x:c>
      <x:c r="H47" s="18" t="str">
        <x:v>Le même geste fonctionne sur deux rigs autorisés sans inverser les axes.</x:v>
      </x:c>
      <x:c r="I47" s="18" t="str">
        <x:v>src/autoshow-core.js ; src/autoshow-app.js ; src/motion-analysis.js ; src/motion-sync.js ; src/face-core.js ; src/stage.js</x:v>
      </x:c>
      <x:c r="J47" s="18" t="str">
        <x:v>MMD-14</x:v>
      </x:c>
      <x:c r="K47" s="18" t="str">
        <x:v>Non certifié ; critère à exécuter</x:v>
      </x:c>
    </x:row>
    <x:row r="48" ht="110" customHeight="1">
      <x:c r="A48" s="176" t="str">
        <x:v>ANI-02</x:v>
      </x:c>
      <x:c r="B48" s="176" t="str">
        <x:v>Animation et Auto Show</x:v>
      </x:c>
      <x:c r="C48" s="176" t="str">
        <x:v>P1</x:v>
      </x:c>
      <x:c r="D48" s="176" t="str">
        <x:v>À faire</x:v>
      </x:c>
      <x:c r="E48" s="176" t="str">
        <x:v>Proportions et axes des rigs</x:v>
      </x:c>
      <x:c r="F48" s="176" t="str">
        <x:v>Les rigs non standards peuvent conserver leur pose plutôt qu'être retargetés.</x:v>
      </x:c>
      <x:c r="G48" s="176" t="str">
        <x:v>Corriger pose de repos, longueurs et repères avant application de motion.</x:v>
      </x:c>
      <x:c r="H48" s="176" t="str">
        <x:v>Tête, mains et bassin restent cohérents sur proportions contrastées.</x:v>
      </x:c>
      <x:c r="I48" s="176" t="str">
        <x:v>src/autoshow-core.js ; src/autoshow-app.js ; src/motion-analysis.js ; src/motion-sync.js ; src/face-core.js ; src/stage.js</x:v>
      </x:c>
      <x:c r="J48" s="176" t="str">
        <x:v>ANI-01</x:v>
      </x:c>
      <x:c r="K48" s="176" t="str">
        <x:v>Non certifié ; critère à exécuter</x:v>
      </x:c>
    </x:row>
    <x:row r="49" ht="110" customHeight="1">
      <x:c r="A49" s="18" t="str">
        <x:v>ANI-03</x:v>
      </x:c>
      <x:c r="B49" s="18" t="str">
        <x:v>Animation et Auto Show</x:v>
      </x:c>
      <x:c r="C49" s="18" t="str">
        <x:v>P1</x:v>
      </x:c>
      <x:c r="D49" s="18" t="str">
        <x:v>À faire</x:v>
      </x:c>
      <x:c r="E49" s="18" t="str">
        <x:v>Contacts de pieds</x:v>
      </x:c>
      <x:c r="F49" s="18" t="str">
        <x:v>La danse procédurale n'apporte pas une garantie d'appui au sol.</x:v>
      </x:c>
      <x:c r="G49" s="18" t="str">
        <x:v>Détection/annotation des contacts, verrouillage des pieds et correction du bassin.</x:v>
      </x:c>
      <x:c r="H49" s="18" t="str">
        <x:v>Pas de glissement notable pendant les phases marquées d'appui.</x:v>
      </x:c>
      <x:c r="I49" s="18" t="str">
        <x:v>src/autoshow-core.js ; src/autoshow-app.js ; src/motion-analysis.js ; src/motion-sync.js ; src/face-core.js ; src/stage.js</x:v>
      </x:c>
      <x:c r="J49" s="18" t="str">
        <x:v>ANI-02</x:v>
      </x:c>
      <x:c r="K49" s="18" t="str">
        <x:v>Non certifié ; critère à exécuter</x:v>
      </x:c>
    </x:row>
    <x:row r="50" ht="110" customHeight="1">
      <x:c r="A50" s="176" t="str">
        <x:v>ANI-04</x:v>
      </x:c>
      <x:c r="B50" s="176" t="str">
        <x:v>Animation et Auto Show</x:v>
      </x:c>
      <x:c r="C50" s="176" t="str">
        <x:v>P1</x:v>
      </x:c>
      <x:c r="D50" s="176" t="str">
        <x:v>À faire</x:v>
      </x:c>
      <x:c r="E50" s="176" t="str">
        <x:v>Root motion et trajectoires</x:v>
      </x:c>
      <x:c r="F50" s="176" t="str">
        <x:v>Formations et clips ne constituent pas un mixage de racine complet.</x:v>
      </x:c>
      <x:c r="G50" s="176" t="str">
        <x:v>Séparer locomotion, racine du modèle et position de scène ; définir transitions.</x:v>
      </x:c>
      <x:c r="H50" s="176" t="str">
        <x:v>Aucun saut à la jointure ; trajectoire exportée/rechargée identiquement.</x:v>
      </x:c>
      <x:c r="I50" s="176" t="str">
        <x:v>src/autoshow-core.js ; src/autoshow-app.js ; src/motion-analysis.js ; src/motion-sync.js ; src/face-core.js ; src/stage.js</x:v>
      </x:c>
      <x:c r="J50" s="176" t="str">
        <x:v>ANI-02</x:v>
      </x:c>
      <x:c r="K50" s="176" t="str">
        <x:v>Non certifié ; critère à exécuter</x:v>
      </x:c>
    </x:row>
    <x:row r="51" ht="110" customHeight="1">
      <x:c r="A51" s="18" t="str">
        <x:v>ANI-05</x:v>
      </x:c>
      <x:c r="B51" s="18" t="str">
        <x:v>Animation et Auto Show</x:v>
      </x:c>
      <x:c r="C51" s="18" t="str">
        <x:v>P2</x:v>
      </x:c>
      <x:c r="D51" s="18" t="str">
        <x:v>À valider</x:v>
      </x:c>
      <x:c r="E51" s="18" t="str">
        <x:v>BPM et cycle de motion VMD</x:v>
      </x:c>
      <x:c r="F51" s="18" t="str">
        <x:v>Une détection propose des candidats, sans garantir phase ou vérité musicale.</x:v>
      </x:c>
      <x:c r="G51" s="18" t="str">
        <x:v>Corpus avec motifs, rythmes ambigus et motions non cycliques ; correction manuelle.</x:v>
      </x:c>
      <x:c r="H51" s="18" t="str">
        <x:v>Proposition ambiguë signalée ; motion statique refusée ; validation utilisateur conservée.</x:v>
      </x:c>
      <x:c r="I51" s="18" t="str">
        <x:v>src/autoshow-core.js ; src/autoshow-app.js ; src/motion-analysis.js ; src/motion-sync.js ; src/face-core.js ; src/stage.js</x:v>
      </x:c>
      <x:c r="J51" s="18" t="str">
        <x:v>MMD-14</x:v>
      </x:c>
      <x:c r="K51" s="18" t="str">
        <x:v>Non certifié ; critère à exécuter</x:v>
      </x:c>
    </x:row>
    <x:row r="52" ht="110" customHeight="1">
      <x:c r="A52" s="176" t="str">
        <x:v>ANI-06</x:v>
      </x:c>
      <x:c r="B52" s="176" t="str">
        <x:v>Animation et Auto Show</x:v>
      </x:c>
      <x:c r="C52" s="176" t="str">
        <x:v>P1</x:v>
      </x:c>
      <x:c r="D52" s="176" t="str">
        <x:v>Partiel</x:v>
      </x:c>
      <x:c r="E52" s="176" t="str">
        <x:v>Visage piloté par enveloppe</x:v>
      </x:c>
      <x:c r="F52" s="176" t="str">
        <x:v>Piste faciale et enveloppe/voix guide existent, pas des phonèmes fiables.</x:v>
      </x:c>
      <x:c r="G52" s="176" t="str">
        <x:v>Distinguer amplitude, expressions et visèmes dans l'interface et la documentation.</x:v>
      </x:c>
      <x:c r="H52" s="176" t="str">
        <x:v>Aucune enveloppe d'énergie annoncée comme synchronisation phonétique exacte.</x:v>
      </x:c>
      <x:c r="I52" s="176" t="str">
        <x:v>src/autoshow-core.js ; src/autoshow-app.js ; src/motion-analysis.js ; src/motion-sync.js ; src/face-core.js ; src/stage.js</x:v>
      </x:c>
      <x:c r="J52" s="176" t="str">
        <x:v>ANI-07</x:v>
      </x:c>
      <x:c r="K52" s="176" t="str">
        <x:v>Non certifié ; critère à exécuter</x:v>
      </x:c>
    </x:row>
    <x:row r="53" ht="110" customHeight="1">
      <x:c r="A53" s="18" t="str">
        <x:v>ANI-07</x:v>
      </x:c>
      <x:c r="B53" s="18" t="str">
        <x:v>Animation et Auto Show</x:v>
      </x:c>
      <x:c r="C53" s="18" t="str">
        <x:v>P2</x:v>
      </x:c>
      <x:c r="D53" s="18" t="str">
        <x:v>À faire</x:v>
      </x:c>
      <x:c r="E53" s="18" t="str">
        <x:v>Visèmes phonétiques</x:v>
      </x:c>
      <x:c r="F53" s="18" t="str">
        <x:v>Les visèmes depuis la chanson restent ouverts.</x:v>
      </x:c>
      <x:c r="G53" s="18" t="str">
        <x:v>Importer repères phonétiques, mapper les morphs du modèle et permettre leur correction.</x:v>
      </x:c>
      <x:c r="H53" s="18" t="str">
        <x:v>Prononciation de phrases de référence, sauvegarde et correction image par image.</x:v>
      </x:c>
      <x:c r="I53" s="18" t="str">
        <x:v>src/autoshow-core.js ; src/autoshow-app.js ; src/motion-analysis.js ; src/motion-sync.js ; src/face-core.js ; src/stage.js</x:v>
      </x:c>
      <x:c r="J53" s="18" t="str">
        <x:v>ANI-01</x:v>
      </x:c>
      <x:c r="K53" s="18" t="str">
        <x:v>Non certifié ; critère à exécuter</x:v>
      </x:c>
    </x:row>
    <x:row r="54" ht="110" customHeight="1">
      <x:c r="A54" s="176" t="str">
        <x:v>ANI-08</x:v>
      </x:c>
      <x:c r="B54" s="176" t="str">
        <x:v>Animation et Auto Show</x:v>
      </x:c>
      <x:c r="C54" s="176" t="str">
        <x:v>P2</x:v>
      </x:c>
      <x:c r="D54" s="176" t="str">
        <x:v>À faire</x:v>
      </x:c>
      <x:c r="E54" s="176" t="str">
        <x:v>Expressions et clignements contextuels</x:v>
      </x:c>
      <x:c r="F54" s="176" t="str">
        <x:v>La piste faciale ne garantit pas une direction artistique complète.</x:v>
      </x:c>
      <x:c r="G54" s="176" t="str">
        <x:v>Bibliothèque paramétrable d'expressions, regards et clignements avec intensité limitée.</x:v>
      </x:c>
      <x:c r="H54" s="176" t="str">
        <x:v>Expressions variées sans fermeture permanente des yeux ni perte des clés manuelles.</x:v>
      </x:c>
      <x:c r="I54" s="176" t="str">
        <x:v>src/autoshow-core.js ; src/autoshow-app.js ; src/motion-analysis.js ; src/motion-sync.js ; src/face-core.js ; src/stage.js</x:v>
      </x:c>
      <x:c r="J54" s="176" t="str">
        <x:v>ANI-06</x:v>
      </x:c>
      <x:c r="K54" s="176" t="str">
        <x:v>Non certifié ; critère à exécuter</x:v>
      </x:c>
    </x:row>
    <x:row r="55" ht="110" customHeight="1">
      <x:c r="A55" s="18" t="str">
        <x:v>ANI-09</x:v>
      </x:c>
      <x:c r="B55" s="18" t="str">
        <x:v>Animation et Auto Show</x:v>
      </x:c>
      <x:c r="C55" s="18" t="str">
        <x:v>P1</x:v>
      </x:c>
      <x:c r="D55" s="18" t="str">
        <x:v>À valider</x:v>
      </x:c>
      <x:c r="E55" s="18" t="str">
        <x:v>Respect des pistes manuelles Auto Show</x:v>
      </x:c>
      <x:c r="F55" s="18" t="str">
        <x:v>Des verrous automatiques/manuels existent et doivent rester fiables dans tout parcours.</x:v>
      </x:c>
      <x:c r="G55" s="18" t="str">
        <x:v>Étendre tests de régénération à toutes les combinaisons de verrous et restauration.</x:v>
      </x:c>
      <x:c r="H55" s="18" t="str">
        <x:v>Aucune clé manuelle modifiée sans déverrouillage explicite.</x:v>
      </x:c>
      <x:c r="I55" s="18" t="str">
        <x:v>src/autoshow-core.js ; src/autoshow-app.js ; src/motion-analysis.js ; src/motion-sync.js ; src/face-core.js ; src/stage.js</x:v>
      </x:c>
      <x:c r="J55" s="18" t="str">
        <x:v>SAV-08</x:v>
      </x:c>
      <x:c r="K55" s="18" t="str">
        <x:v>Non certifié ; critère à exécuter</x:v>
      </x:c>
    </x:row>
    <x:row r="56" ht="110" customHeight="1">
      <x:c r="A56" s="176" t="str">
        <x:v>ANI-10</x:v>
      </x:c>
      <x:c r="B56" s="176" t="str">
        <x:v>Animation et Auto Show</x:v>
      </x:c>
      <x:c r="C56" s="176" t="str">
        <x:v>P2</x:v>
      </x:c>
      <x:c r="D56" s="176" t="str">
        <x:v>À faire</x:v>
      </x:c>
      <x:c r="E56" s="176" t="str">
        <x:v>Variété des chorégraphies</x:v>
      </x:c>
      <x:c r="F56" s="176" t="str">
        <x:v>Les mouvements procéduraux restent génériques.</x:v>
      </x:c>
      <x:c r="G56" s="176" t="str">
        <x:v>Motifs par section musicale, intensité et nombre de danseurs ; éviter répétitions et collisions.</x:v>
      </x:c>
      <x:c r="H56" s="176" t="str">
        <x:v>Trois chansons contrastées génèrent des spectacles distincts et modifiables.</x:v>
      </x:c>
      <x:c r="I56" s="176" t="str">
        <x:v>src/autoshow-core.js ; src/autoshow-app.js ; src/motion-analysis.js ; src/motion-sync.js ; src/face-core.js ; src/stage.js</x:v>
      </x:c>
      <x:c r="J56" s="176" t="str">
        <x:v>MAP-01</x:v>
      </x:c>
      <x:c r="K56" s="176" t="str">
        <x:v>Non certifié ; critère à exécuter</x:v>
      </x:c>
    </x:row>
    <x:row r="57" ht="110" customHeight="1">
      <x:c r="A57" s="18" t="str">
        <x:v>ANI-11</x:v>
      </x:c>
      <x:c r="B57" s="18" t="str">
        <x:v>Animation et Auto Show</x:v>
      </x:c>
      <x:c r="C57" s="18" t="str">
        <x:v>P2</x:v>
      </x:c>
      <x:c r="D57" s="18" t="str">
        <x:v>À faire</x:v>
      </x:c>
      <x:c r="E57" s="18" t="str">
        <x:v>Caméra contrainte par la scène</x:v>
      </x:c>
      <x:c r="F57" s="18" t="str">
        <x:v>Trajets automatiques existent, sans collision/occlusion universelle.</x:v>
      </x:c>
      <x:c r="G57" s="18" t="str">
        <x:v>Bornes de cadrage, visibilité des danseurs, interdiction de traverser props et sol.</x:v>
      </x:c>
      <x:c r="H57" s="18" t="str">
        <x:v>Les quatre danseurs restent lisibles ; mode mouvement réduit respecté.</x:v>
      </x:c>
      <x:c r="I57" s="18" t="str">
        <x:v>src/autoshow-core.js ; src/autoshow-app.js ; src/motion-analysis.js ; src/motion-sync.js ; src/face-core.js ; src/stage.js</x:v>
      </x:c>
      <x:c r="J57" s="18" t="str">
        <x:v>ART-02</x:v>
      </x:c>
      <x:c r="K57" s="18" t="str">
        <x:v>Non certifié ; critère à exécuter</x:v>
      </x:c>
    </x:row>
    <x:row r="58" ht="110" customHeight="1">
      <x:c r="A58" s="176" t="str">
        <x:v>ANI-12</x:v>
      </x:c>
      <x:c r="B58" s="176" t="str">
        <x:v>Animation et Auto Show</x:v>
      </x:c>
      <x:c r="C58" s="176" t="str">
        <x:v>P2</x:v>
      </x:c>
      <x:c r="D58" s="176" t="str">
        <x:v>À faire</x:v>
      </x:c>
      <x:c r="E58" s="176" t="str">
        <x:v>Formation et changements de lead</x:v>
      </x:c>
      <x:c r="F58" s="176" t="str">
        <x:v>Les formations tournent selon les sections, mais leur qualité reste à valider.</x:v>
      </x:c>
      <x:c r="G58" s="176" t="str">
        <x:v>Prévisualiser croisements, distances minimales, transitions et danseur principal.</x:v>
      </x:c>
      <x:c r="H58" s="176" t="str">
        <x:v>Pas d'interpénétration majeure ; lead annoncé correspond au danseur au centre.</x:v>
      </x:c>
      <x:c r="I58" s="176" t="str">
        <x:v>src/autoshow-core.js ; src/autoshow-app.js ; src/motion-analysis.js ; src/motion-sync.js ; src/face-core.js ; src/stage.js</x:v>
      </x:c>
      <x:c r="J58" s="176" t="str">
        <x:v>ANI-04</x:v>
      </x:c>
      <x:c r="K58" s="176" t="str">
        <x:v>Non certifié ; critère à exécuter</x:v>
      </x:c>
    </x:row>
    <x:row r="59" ht="110" customHeight="1">
      <x:c r="A59" s="18" t="str">
        <x:v>MAP-01</x:v>
      </x:c>
      <x:c r="B59" s="18" t="str">
        <x:v>AutoMap et reconnaissance</x:v>
      </x:c>
      <x:c r="C59" s="18" t="str">
        <x:v>P1</x:v>
      </x:c>
      <x:c r="D59" s="18" t="str">
        <x:v>À faire</x:v>
      </x:c>
      <x:c r="E59" s="18" t="str">
        <x:v>Corpus musical réel annoté</x:v>
      </x:c>
      <x:c r="F59" s="18" t="str">
        <x:v>La qualité mesurée repose surtout sur cinq WAV synthétiques originaux.</x:v>
      </x:c>
      <x:c r="G59" s="18" t="str">
        <x:v>Réunir un corpus autorisé : voix, mixes denses, silences, rubato, transitions et genres variés.</x:v>
      </x:c>
      <x:c r="H59" s="18" t="str">
        <x:v>Annotations vérifiables et résultats par chanson, pas uniquement une moyenne globale.</x:v>
      </x:c>
      <x:c r="I59" s="18" t="str">
        <x:v>src/automap-core.js ; src/automap-app.js ; src/audio-match.js ; tests/v24-audio-corpus.cjs ; AUDIT_V28.json A28–A31</x:v>
      </x:c>
      <x:c r="J59" s="18" t="str">
        <x:v>PUB-05</x:v>
      </x:c>
      <x:c r="K59" s="18" t="str">
        <x:v>Non certifié ; critère à exécuter</x:v>
      </x:c>
    </x:row>
    <x:row r="60" ht="110" customHeight="1">
      <x:c r="A60" s="176" t="str">
        <x:v>MAP-02</x:v>
      </x:c>
      <x:c r="B60" s="176" t="str">
        <x:v>AutoMap et reconnaissance</x:v>
      </x:c>
      <x:c r="C60" s="176" t="str">
        <x:v>P1</x:v>
      </x:c>
      <x:c r="D60" s="176" t="str">
        <x:v>À valider</x:v>
      </x:c>
      <x:c r="E60" s="176" t="str">
        <x:v>Progression des cinq difficultés</x:v>
      </x:c>
      <x:c r="F60" s="176" t="str">
        <x:v>Les ancres cohérentes existent ; jouabilité humaine non certifiée.</x:v>
      </x:c>
      <x:c r="G60" s="176" t="str">
        <x:v>Faire jouer les cinq niveaux et corriger pics, répétitions et positions gênantes.</x:v>
      </x:c>
      <x:c r="H60" s="176" t="str">
        <x:v>Notes héritées conservées ; difficulté progressive et retours documentés par niveau.</x:v>
      </x:c>
      <x:c r="I60" s="176" t="str">
        <x:v>src/automap-core.js ; src/automap-app.js ; src/audio-match.js ; tests/v24-audio-corpus.cjs ; AUDIT_V28.json A28–A31</x:v>
      </x:c>
      <x:c r="J60" s="176" t="str">
        <x:v>MAP-01</x:v>
      </x:c>
      <x:c r="K60" s="176" t="str">
        <x:v>Non certifié ; critère à exécuter</x:v>
      </x:c>
    </x:row>
    <x:row r="61" ht="110" customHeight="1">
      <x:c r="A61" s="18" t="str">
        <x:v>MAP-03</x:v>
      </x:c>
      <x:c r="B61" s="18" t="str">
        <x:v>AutoMap et reconnaissance</x:v>
      </x:c>
      <x:c r="C61" s="18" t="str">
        <x:v>P1</x:v>
      </x:c>
      <x:c r="D61" s="18" t="str">
        <x:v>Partiel</x:v>
      </x:c>
      <x:c r="E61" s="18" t="str">
        <x:v>Tempo variable, swing et rubato</x:v>
      </x:c>
      <x:c r="F61" s="18" t="str">
        <x:v>Métrique et tempo variable existent ; cas complexes à évaluer.</x:v>
      </x:c>
      <x:c r="G61" s="18" t="str">
        <x:v>Étendre détection et édition de tempo avec confiance et correction locale.</x:v>
      </x:c>
      <x:c r="H61" s="18" t="str">
        <x:v>Grille stable dans le corpus ; ambiguïtés détectées au lieu de BPM imposé.</x:v>
      </x:c>
      <x:c r="I61" s="18" t="str">
        <x:v>src/automap-core.js ; src/automap-app.js ; src/audio-match.js ; tests/v24-audio-corpus.cjs ; AUDIT_V28.json A28–A31</x:v>
      </x:c>
      <x:c r="J61" s="18" t="str">
        <x:v>MAP-01</x:v>
      </x:c>
      <x:c r="K61" s="18" t="str">
        <x:v>Non certifié ; critère à exécuter</x:v>
      </x:c>
    </x:row>
    <x:row r="62" ht="110" customHeight="1">
      <x:c r="A62" s="176" t="str">
        <x:v>MAP-04</x:v>
      </x:c>
      <x:c r="B62" s="176" t="str">
        <x:v>AutoMap et reconnaissance</x:v>
      </x:c>
      <x:c r="C62" s="176" t="str">
        <x:v>P1</x:v>
      </x:c>
      <x:c r="D62" s="176" t="str">
        <x:v>À valider</x:v>
      </x:c>
      <x:c r="E62" s="176" t="str">
        <x:v>Ergonomie des patterns</x:v>
      </x:c>
      <x:c r="F62" s="176" t="str">
        <x:v>Tests techniques ne certifient ni confort ni lisibilité.</x:v>
      </x:c>
      <x:c r="G62" s="176" t="str">
        <x:v>Évaluer simultanés, slides, croisements et temps de lecture sur clavier, pad et tactile.</x:v>
      </x:c>
      <x:c r="H62" s="176" t="str">
        <x:v>Pas de pattern impossible sur le périphérique cible ; suggestions de correction.</x:v>
      </x:c>
      <x:c r="I62" s="176" t="str">
        <x:v>src/automap-core.js ; src/automap-app.js ; src/audio-match.js ; tests/v24-audio-corpus.cjs ; AUDIT_V28.json A28–A31</x:v>
      </x:c>
      <x:c r="J62" s="176" t="str">
        <x:v>GAME-07</x:v>
      </x:c>
      <x:c r="K62" s="176" t="str">
        <x:v>Non certifié ; critère à exécuter</x:v>
      </x:c>
    </x:row>
    <x:row r="63" ht="110" customHeight="1">
      <x:c r="A63" s="18" t="str">
        <x:v>MAP-05</x:v>
      </x:c>
      <x:c r="B63" s="18" t="str">
        <x:v>AutoMap et reconnaissance</x:v>
      </x:c>
      <x:c r="C63" s="18" t="str">
        <x:v>P2</x:v>
      </x:c>
      <x:c r="D63" s="18" t="str">
        <x:v>Partiel</x:v>
      </x:c>
      <x:c r="E63" s="18" t="str">
        <x:v>Reconnaissance d'audio réencodé</x:v>
      </x:c>
      <x:c r="F63" s="18" t="str">
        <x:v>Les candidats locaux ne sont pas une preuve d'identité.</x:v>
      </x:c>
      <x:c r="G63" s="18" t="str">
        <x:v>Élargir corpus réencodage, silences ajoutés, changement de gain et faux positifs proches.</x:v>
      </x:c>
      <x:c r="H63" s="18" t="str">
        <x:v>Courbes de précision/rappel ; association toujours confirmée avant copie de partition.</x:v>
      </x:c>
      <x:c r="I63" s="18" t="str">
        <x:v>src/automap-core.js ; src/automap-app.js ; src/audio-match.js ; tests/v24-audio-corpus.cjs ; AUDIT_V28.json A28–A31</x:v>
      </x:c>
      <x:c r="J63" s="18" t="str">
        <x:v>MAP-01</x:v>
      </x:c>
      <x:c r="K63" s="18" t="str">
        <x:v>Non certifié ; critère à exécuter</x:v>
      </x:c>
    </x:row>
    <x:row r="64" ht="110" customHeight="1">
      <x:c r="A64" s="176" t="str">
        <x:v>MAP-06</x:v>
      </x:c>
      <x:c r="B64" s="176" t="str">
        <x:v>AutoMap et reconnaissance</x:v>
      </x:c>
      <x:c r="C64" s="176" t="str">
        <x:v>P2</x:v>
      </x:c>
      <x:c r="D64" s="176" t="str">
        <x:v>À faire</x:v>
      </x:c>
      <x:c r="E64" s="176" t="str">
        <x:v>Offset plus fin et dérive de durée</x:v>
      </x:c>
      <x:c r="F64" s="176" t="str">
        <x:v>L'estimation décrite utilise une plage et un pas limités.</x:v>
      </x:c>
      <x:c r="G64" s="176" t="str">
        <x:v>Analyse multi-segments, estimation fine et signalement de tempo/longueur divergents.</x:v>
      </x:c>
      <x:c r="H64" s="176" t="str">
        <x:v>Refuser un transfert incohérent ; écoute comparative et correction conservées.</x:v>
      </x:c>
      <x:c r="I64" s="176" t="str">
        <x:v>src/automap-core.js ; src/automap-app.js ; src/audio-match.js ; tests/v24-audio-corpus.cjs ; AUDIT_V28.json A28–A31</x:v>
      </x:c>
      <x:c r="J64" s="176" t="str">
        <x:v>MAP-05</x:v>
      </x:c>
      <x:c r="K64" s="176" t="str">
        <x:v>Non certifié ; critère à exécuter</x:v>
      </x:c>
    </x:row>
    <x:row r="65" ht="110" customHeight="1">
      <x:c r="A65" s="18" t="str">
        <x:v>MAP-07</x:v>
      </x:c>
      <x:c r="B65" s="18" t="str">
        <x:v>AutoMap et reconnaissance</x:v>
      </x:c>
      <x:c r="C65" s="18" t="str">
        <x:v>P2</x:v>
      </x:c>
      <x:c r="D65" s="18" t="str">
        <x:v>À faire</x:v>
      </x:c>
      <x:c r="E65" s="18" t="str">
        <x:v>Recherche de partitions autorisées en ligne</x:v>
      </x:c>
      <x:c r="F65" s="18" t="str">
        <x:v>Catalogue local présent ; pas de catalogue réseau officiel embarqué.</x:v>
      </x:c>
      <x:c r="G65" s="18" t="str">
        <x:v>Adaptateur opt-in, provenance, version, licence, correspondance audio et cache.</x:v>
      </x:c>
      <x:c r="H65" s="18" t="str">
        <x:v>Résultat incertain jamais appliqué automatiquement ; fonctionnement local inchangé.</x:v>
      </x:c>
      <x:c r="I65" s="18" t="str">
        <x:v>src/automap-core.js ; src/automap-app.js ; src/audio-match.js ; tests/v24-audio-corpus.cjs ; AUDIT_V28.json A28–A31</x:v>
      </x:c>
      <x:c r="J65" s="18" t="str">
        <x:v>PUB-05</x:v>
      </x:c>
      <x:c r="K65" s="18" t="str">
        <x:v>Non certifié ; critère à exécuter</x:v>
      </x:c>
    </x:row>
    <x:row r="66" ht="110" customHeight="1">
      <x:c r="A66" s="176" t="str">
        <x:v>MAP-08</x:v>
      </x:c>
      <x:c r="B66" s="176" t="str">
        <x:v>AutoMap et reconnaissance</x:v>
      </x:c>
      <x:c r="C66" s="176" t="str">
        <x:v>P1</x:v>
      </x:c>
      <x:c r="D66" s="176" t="str">
        <x:v>À faire</x:v>
      </x:c>
      <x:c r="E66" s="176" t="str">
        <x:v>Annulation et estimation avant gros import</x:v>
      </x:c>
      <x:c r="F66" s="176" t="str">
        <x:v>Certaines limites existent ; toutes les phases lourdes ne sont pas certifiées annulables.</x:v>
      </x:c>
      <x:c r="G66" s="176" t="str">
        <x:v>Estimer coût, afficher progrès, annuler décodage/analyse/association sans publication partielle.</x:v>
      </x:c>
      <x:c r="H66" s="176" t="str">
        <x:v>Importer puis annuler à chaque étape ; aucun morceau fantôme ni blocage durable.</x:v>
      </x:c>
      <x:c r="I66" s="176" t="str">
        <x:v>src/automap-core.js ; src/automap-app.js ; src/audio-match.js ; tests/v24-audio-corpus.cjs ; AUDIT_V28.json A28–A31</x:v>
      </x:c>
      <x:c r="J66" s="176" t="str">
        <x:v>PER-03</x:v>
      </x:c>
      <x:c r="K66" s="176" t="str">
        <x:v>Non certifié ; critère à exécuter</x:v>
      </x:c>
    </x:row>
    <x:row r="67" ht="110" customHeight="1">
      <x:c r="A67" s="18" t="str">
        <x:v>GAME-01</x:v>
      </x:c>
      <x:c r="B67" s="18" t="str">
        <x:v>Gameplay et règles</x:v>
      </x:c>
      <x:c r="C67" s="18" t="str">
        <x:v>P0</x:v>
      </x:c>
      <x:c r="D67" s="18" t="str">
        <x:v>Partiel</x:v>
      </x:c>
      <x:c r="E67" s="18" t="str">
        <x:v>Référence des règles du jeu</x:v>
      </x:c>
      <x:c r="F67" s="18" t="str">
        <x:v>La fidélité 1:1 à Project DIVA n'est pas certifiée et l'édition de référence reste à fixer.</x:v>
      </x:c>
      <x:c r="G67" s="18" t="str">
        <x:v>V35 décrit les règles internes rules4 : profils, notes, fenêtres, score, combo, vie, HOLD, chaînes, accords, offsets, modes, records et replay. Le contrat versionné est accompagné d’entrées et de résultats attendus indépendants de l’implémentation. Choisir une édition officielle de référence et vérifier sa fidélité reste ouvert.</x:v>
      </x:c>
      <x:c r="H67" s="18" t="str">
        <x:v>Document de règles versionné et jeux d'entrées avec résultats attendus.</x:v>
      </x:c>
      <x:c r="I67" s="18" t="str">
        <x:v>src/core.js ; src/app.js ; src/editor.js ; src/editor-v3.js ; src/live-core.js ; AUDIT_V28.json A32 ; docs/REGLES_DIVA_PULSE_V1.md ; tests/fixtures/rules-contract-v1.json ; tests/rules-contract.test.cjs</x:v>
      </x:c>
      <x:c r="J67" s="18" t="str">
        <x:v>—</x:v>
      </x:c>
      <x:c r="K67" s="18" t="str">
        <x:v>Contrat interne et oracles vérifiés en Node ; fidélité 1:1 à une édition officielle non certifiée. Les records existants ne sont ni recalculés ni migrés.</x:v>
      </x:c>
    </x:row>
    <x:row r="68" ht="110" customHeight="1">
      <x:c r="A68" s="176" t="str">
        <x:v>GAME-02</x:v>
      </x:c>
      <x:c r="B68" s="176" t="str">
        <x:v>Gameplay et règles</x:v>
      </x:c>
      <x:c r="C68" s="176" t="str">
        <x:v>P1</x:v>
      </x:c>
      <x:c r="D68" s="176" t="str">
        <x:v>À valider</x:v>
      </x:c>
      <x:c r="E68" s="176" t="str">
        <x:v>Notes simultanées et maintien</x:v>
      </x:c>
      <x:c r="F68" s="176" t="str">
        <x:v>Le moteur possède ces mécanismes ; égalité complète non démontrée.</x:v>
      </x:c>
      <x:c r="G68" s="176" t="str">
        <x:v>Fixtures de presse/relâchement, limites de fenêtre et changements de maintien.</x:v>
      </x:c>
      <x:c r="H68" s="176" t="str">
        <x:v>Comptes, score, combo et jauge égaux à chaque scénario attendu.</x:v>
      </x:c>
      <x:c r="I68" s="176" t="str">
        <x:v>src/core.js ; src/app.js ; src/editor.js ; src/editor-v3.js ; src/live-core.js ; AUDIT_V28.json A32</x:v>
      </x:c>
      <x:c r="J68" s="176" t="str">
        <x:v>GAME-01</x:v>
      </x:c>
      <x:c r="K68" s="176" t="str">
        <x:v>Non certifié ; critère à exécuter</x:v>
      </x:c>
    </x:row>
    <x:row r="69" ht="110" customHeight="1">
      <x:c r="A69" s="18" t="str">
        <x:v>GAME-03</x:v>
      </x:c>
      <x:c r="B69" s="18" t="str">
        <x:v>Gameplay et règles</x:v>
      </x:c>
      <x:c r="C69" s="18" t="str">
        <x:v>P1</x:v>
      </x:c>
      <x:c r="D69" s="18" t="str">
        <x:v>À valider</x:v>
      </x:c>
      <x:c r="E69" s="18" t="str">
        <x:v>Slides et chaînes</x:v>
      </x:c>
      <x:c r="F69" s="18" t="str">
        <x:v>Types présents mais tous les périphériques et cas limites non validés.</x:v>
      </x:c>
      <x:c r="G69" s="18" t="str">
        <x:v>V35 traite les continuations de chaîne au timestamp des entrées avant de modifier les directions maintenues et résout chronologiquement les MISS. Des scénarios comparent score, bonus HOLD, combo, vie et journal à 0/30/60/144 Hz simulés avec les trois profils. La qualification des périphériques, du sens, de l’inversion et de tous les cas limites reste ouverte.</x:v>
      </x:c>
      <x:c r="H69" s="18" t="str">
        <x:v>Pas de double comptage ni de note perdue ; comportement conforme aux règles choisies.</x:v>
      </x:c>
      <x:c r="I69" s="18" t="str">
        <x:v>src/core.js ; src/app.js ; src/editor.js ; src/editor-v3.js ; src/live-core.js ; AUDIT_V28.json A32 ; tests/rhythm-events.test.cjs ; docs/REGLES_DIVA_PULSE_V1.md</x:v>
      </x:c>
      <x:c r="J69" s="18" t="str">
        <x:v>GAME-01</x:v>
      </x:c>
      <x:c r="K69" s="18" t="str">
        <x:v>Déterminisme validé sur des entrées chronologiques à cadences simulées. Un événement livré après une frame future ne rembobine pas les points ou états déjà consommés. Aucun périphérique physique certifié.</x:v>
      </x:c>
    </x:row>
    <x:row r="70" ht="120" hidden="0" customHeight="1">
      <x:c r="A70" s="176" t="str">
        <x:v>GAME-04</x:v>
      </x:c>
      <x:c r="B70" s="176" t="str">
        <x:v>Gameplay et règles</x:v>
      </x:c>
      <x:c r="C70" s="176" t="str">
        <x:v>P1</x:v>
      </x:c>
      <x:c r="D70" s="176" t="str">
        <x:v>Partiel</x:v>
      </x:c>
      <x:c r="E70" s="176" t="str">
        <x:v>Horloge, pause et compensation</x:v>
      </x:c>
      <x:c r="F70" s="176" t="str">
        <x:v>Audio et profils de jugement existent, avec risque matériel non évalué.</x:v>
      </x:c>
      <x:c r="G70" s="176" t="str">
        <x:v>V33 corrige la reprise audio périmée après sortie et vérifie les entrées invalides. La latence, les compensations sur périphériques et tous les cas de pause restent à qualifier. V34 suspend la partie lors d’une interruption AudioContext, bloque les entrées et impose une reprise explicite. Le contexte fermé est recréé ; l’écoute Director est interrompue si la page est masquée. V35 annule les démarrages, reprises et boucles audio devenus périmés pendant une préparation asynchrone, notamment après une nouvelle pause, une sortie ou le masquage de la page.</x:v>
      </x:c>
      <x:c r="H70" s="176" t="str">
        <x:v>Aucune dérive après pause ; jugement stable et offset expliqué au joueur.</x:v>
      </x:c>
      <x:c r="I70" s="176" t="str">
        <x:v>src/core.js ; src/app.js ; src/editor.js ; src/editor-v3.js ; src/live-core.js ; AUDIT_V28.json A32 ; src/feedback33.js ; tests/v33.test.cjs ; tests/v33_browser_test.py ; qa/v33/feedback/results.json ; src/live-feedback34.js ; tests/v34_browser_test.py ; src/precision-app.js ; tests/v35_playback_browser.py ; qa/v35/playback/results.json ; src/enhancements.js ; src/live-app.js ; src/director-app.js</x:v>
      </x:c>
      <x:c r="J70" s="176" t="str">
        <x:v>QA-03</x:v>
      </x:c>
      <x:c r="K70" s="176" t="str">
        <x:v>Parcours V35 : 22 contrôles HTTP/IndexedDB natifs et Web Audio réel, avec promesses différées et visibilité contrôlées ; worker WSOLA réel et cas Studio/replay. Latence matérielle, compensations et autres cas de pause restent à qualifier.</x:v>
      </x:c>
    </x:row>
    <x:row r="71" ht="110" hidden="0" customHeight="1">
      <x:c r="A71" s="18" t="str">
        <x:v>GAME-05</x:v>
      </x:c>
      <x:c r="B71" s="18" t="str">
        <x:v>Gameplay et règles</x:v>
      </x:c>
      <x:c r="C71" s="18" t="str">
        <x:v>P1</x:v>
      </x:c>
      <x:c r="D71" s="18" t="str">
        <x:v>À valider</x:v>
      </x:c>
      <x:c r="E71" s="18" t="str">
        <x:v>Séparation des records et replays</x:v>
      </x:c>
      <x:c r="F71" s="18" t="str">
        <x:v>Profils et modes assistés sont distingués ; matrice complète à éprouver.</x:v>
      </x:c>
      <x:c r="G71" s="18" t="str">
        <x:v>V36 conserve la signature historique des clés de records reconnues pendant la restauration, en remappant seulement l’identifiant du morceau. Les signatures historiques d’une même partition peuvent coexister ; les collisions réelles sont refusées avant écriture. La matrice autoplay, entraînement, no-fail, versions des règles, modifications de partition et replays reste à qualifier.</x:v>
      </x:c>
      <x:c r="H71" s="18" t="str">
        <x:v>Aucun record assisté ne remplace un record normal ; replay reproduit le résultat.</x:v>
      </x:c>
      <x:c r="I71" s="18" t="str">
        <x:v>src/core.js ; src/app.js ; src/editor.js ; src/editor-v3.js ; src/live-core.js ; AUDIT_V28.json A32 ; V36 : src/bundle-core.js ; src/enhancements.js ; tests/archive-integrity.test.cjs ; tests/v36_archive_browser.py ; qa/v36/archive/results.json ; docs/V36_ARCHIVES_SCENE_CALME.md</x:v>
      </x:c>
      <x:c r="J71" s="18" t="str">
        <x:v>GAME-01</x:v>
      </x:c>
      <x:c r="K71" s="18" t="str">
        <x:v>Restauration des clés historiques reconnues vérifiée ; aucune validation globale de la matrice des modes assistés ni de la reproduction complète des replays. Le statut À valider est conservé.</x:v>
      </x:c>
    </x:row>
    <x:row r="72" ht="110" customHeight="1">
      <x:c r="A72" s="176" t="str">
        <x:v>GAME-06</x:v>
      </x:c>
      <x:c r="B72" s="176" t="str">
        <x:v>Gameplay et règles</x:v>
      </x:c>
      <x:c r="C72" s="176" t="str">
        <x:v>P2</x:v>
      </x:c>
      <x:c r="D72" s="176" t="str">
        <x:v>À faire</x:v>
      </x:c>
      <x:c r="E72" s="176" t="str">
        <x:v>Progression et objectifs de jeu</x:v>
      </x:c>
      <x:c r="F72" s="176" t="str">
        <x:v>Le socle rythmique ne constitue pas à lui seul une progression finalisée.</x:v>
      </x:c>
      <x:c r="G72" s="176" t="str">
        <x:v>Définir objectifs, parcours de difficulté, déblocages et états de réussite sans imposer de compte.</x:v>
      </x:c>
      <x:c r="H72" s="176" t="str">
        <x:v>Boucle jouer/résultat/progresser claire ; données persistées et exportables.</x:v>
      </x:c>
      <x:c r="I72" s="176" t="str">
        <x:v>src/core.js ; src/app.js ; src/editor.js ; src/editor-v3.js ; src/live-core.js ; AUDIT_V28.json A32</x:v>
      </x:c>
      <x:c r="J72" s="176" t="str">
        <x:v>SAV-03</x:v>
      </x:c>
      <x:c r="K72" s="176" t="str">
        <x:v>Non certifié ; critère à exécuter</x:v>
      </x:c>
    </x:row>
    <x:row r="73" ht="110" customHeight="1">
      <x:c r="A73" s="18" t="str">
        <x:v>GAME-07</x:v>
      </x:c>
      <x:c r="B73" s="18" t="str">
        <x:v>Gameplay et règles</x:v>
      </x:c>
      <x:c r="C73" s="18" t="str">
        <x:v>P1</x:v>
      </x:c>
      <x:c r="D73" s="18" t="str">
        <x:v>À valider</x:v>
      </x:c>
      <x:c r="E73" s="18" t="str">
        <x:v>Commandes physiques</x:v>
      </x:c>
      <x:c r="F73" s="18" t="str">
        <x:v>Manette, clavier et tactile existent mais appareils réels non testés ici.</x:v>
      </x:c>
      <x:c r="G73" s="18" t="str">
        <x:v>Tester pads courants, AZERTY/QWERTY, multitouch et connexions à chaud.</x:v>
      </x:c>
      <x:c r="H73" s="18" t="str">
        <x:v>Chaque type de note jouable ; déconnexion met en sécurité sans score corrompu.</x:v>
      </x:c>
      <x:c r="I73" s="18" t="str">
        <x:v>src/core.js ; src/app.js ; src/editor.js ; src/editor-v3.js ; src/live-core.js ; AUDIT_V28.json A32</x:v>
      </x:c>
      <x:c r="J73" s="18" t="str">
        <x:v>QA-03</x:v>
      </x:c>
      <x:c r="K73" s="18" t="str">
        <x:v>Non certifié ; critère à exécuter</x:v>
      </x:c>
    </x:row>
    <x:row r="74" ht="110" customHeight="1">
      <x:c r="A74" s="176" t="str">
        <x:v>GAME-08</x:v>
      </x:c>
      <x:c r="B74" s="176" t="str">
        <x:v>Gameplay et règles</x:v>
      </x:c>
      <x:c r="C74" s="176" t="str">
        <x:v>P2</x:v>
      </x:c>
      <x:c r="D74" s="176" t="str">
        <x:v>À faire</x:v>
      </x:c>
      <x:c r="E74" s="176" t="str">
        <x:v>Tutoriel complet par type de note</x:v>
      </x:c>
      <x:c r="F74" s="176" t="str">
        <x:v>L'académie fournit une base mais la couverture doit suivre le règleset retenu.</x:v>
      </x:c>
      <x:c r="G74" s="176" t="str">
        <x:v>Exercices courts, feedback immédiat et accès depuis le jeu.</x:v>
      </x:c>
      <x:c r="H74" s="176" t="str">
        <x:v>Un nouveau joueur comprend timing, maintien, slides, compensation et sauvegarde.</x:v>
      </x:c>
      <x:c r="I74" s="176" t="str">
        <x:v>src/core.js ; src/app.js ; src/editor.js ; src/editor-v3.js ; src/live-core.js ; AUDIT_V28.json A32</x:v>
      </x:c>
      <x:c r="J74" s="176" t="str">
        <x:v>GAME-01</x:v>
      </x:c>
      <x:c r="K74" s="176" t="str">
        <x:v>Non certifié ; critère à exécuter</x:v>
      </x:c>
    </x:row>
    <x:row r="75" ht="110" customHeight="1">
      <x:c r="A75" s="18" t="str">
        <x:v>ART-01</x:v>
      </x:c>
      <x:c r="B75" s="18" t="str">
        <x:v>Scènes, accessoires et contenu</x:v>
      </x:c>
      <x:c r="C75" s="18" t="str">
        <x:v>P1</x:v>
      </x:c>
      <x:c r="D75" s="18" t="str">
        <x:v>À faire</x:v>
      </x:c>
      <x:c r="E75" s="18" t="str">
        <x:v>Personnages finaux autorisés</x:v>
      </x:c>
      <x:c r="F75" s="18" t="str">
        <x:v>Les mannequins et pendules sont des fixtures, pas un roster final.</x:v>
      </x:c>
      <x:c r="G75" s="18" t="str">
        <x:v>Pipeline de validation et fiches de provenance pour modèles réellement destinés au jeu.</x:v>
      </x:c>
      <x:c r="H75" s="18" t="str">
        <x:v>Chaque personnage a modèle, textures, rig, animations testées et droits documentés.</x:v>
      </x:c>
      <x:c r="I75" s="18" t="str">
        <x:v>src/stage.js ; src/autoshow-core.js ; examples/ ; AUDIT_V28.json A34 et A39</x:v>
      </x:c>
      <x:c r="J75" s="18" t="str">
        <x:v>MMD-14</x:v>
      </x:c>
      <x:c r="K75" s="18" t="str">
        <x:v>Non certifié ; critère à exécuter</x:v>
      </x:c>
    </x:row>
    <x:row r="76" ht="110" customHeight="1">
      <x:c r="A76" s="176" t="str">
        <x:v>ART-02</x:v>
      </x:c>
      <x:c r="B76" s="176" t="str">
        <x:v>Scènes, accessoires et contenu</x:v>
      </x:c>
      <x:c r="C76" s="176" t="str">
        <x:v>P2</x:v>
      </x:c>
      <x:c r="D76" s="176" t="str">
        <x:v>À faire</x:v>
      </x:c>
      <x:c r="E76" s="176" t="str">
        <x:v>Bibliothèque de scènes et props</x:v>
      </x:c>
      <x:c r="F76" s="176" t="str">
        <x:v>La génération n'offre pas encore une bibliothèque de décors finalisés modulaires.</x:v>
      </x:c>
      <x:c r="G76" s="176" t="str">
        <x:v>Créer scènes, placements, occlusions, budgets et variations cohérentes.</x:v>
      </x:c>
      <x:c r="H76" s="176" t="str">
        <x:v>Au moins un décor final complet testé à tous les angles, sans gêner les notes.</x:v>
      </x:c>
      <x:c r="I76" s="176" t="str">
        <x:v>src/stage.js ; src/autoshow-core.js ; examples/ ; AUDIT_V28.json A34 et A39</x:v>
      </x:c>
      <x:c r="J76" s="176" t="str">
        <x:v>PER-02</x:v>
      </x:c>
      <x:c r="K76" s="176" t="str">
        <x:v>Non certifié ; critère à exécuter</x:v>
      </x:c>
    </x:row>
    <x:row r="77" ht="110" customHeight="1">
      <x:c r="A77" s="18" t="str">
        <x:v>ART-03</x:v>
      </x:c>
      <x:c r="B77" s="18" t="str">
        <x:v>Scènes, accessoires et contenu</x:v>
      </x:c>
      <x:c r="C77" s="18" t="str">
        <x:v>P2</x:v>
      </x:c>
      <x:c r="D77" s="18" t="str">
        <x:v>À faire</x:v>
      </x:c>
      <x:c r="E77" s="18" t="str">
        <x:v>Accessoires attachés aux os</x:v>
      </x:c>
      <x:c r="F77" s="18" t="str">
        <x:v>Attachements et clés d'activation restent ouverts.</x:v>
      </x:c>
      <x:c r="G77" s="18" t="str">
        <x:v>Définir points d'ancrage, offsets, visibilité et export des dépendances.</x:v>
      </x:c>
      <x:c r="H77" s="18" t="str">
        <x:v>Micro/accessoire suit la main sans dérive et se restaure avec le morceau.</x:v>
      </x:c>
      <x:c r="I77" s="18" t="str">
        <x:v>src/stage.js ; src/autoshow-core.js ; examples/ ; AUDIT_V28.json A34 et A39</x:v>
      </x:c>
      <x:c r="J77" s="18" t="str">
        <x:v>ANI-01</x:v>
      </x:c>
      <x:c r="K77" s="18" t="str">
        <x:v>Non certifié ; critère à exécuter</x:v>
      </x:c>
    </x:row>
    <x:row r="78" ht="110" customHeight="1">
      <x:c r="A78" s="176" t="str">
        <x:v>ART-04</x:v>
      </x:c>
      <x:c r="B78" s="176" t="str">
        <x:v>Scènes, accessoires et contenu</x:v>
      </x:c>
      <x:c r="C78" s="176" t="str">
        <x:v>P2</x:v>
      </x:c>
      <x:c r="D78" s="176" t="str">
        <x:v>À faire</x:v>
      </x:c>
      <x:c r="E78" s="176" t="str">
        <x:v>Placement automatique contraint</x:v>
      </x:c>
      <x:c r="F78" s="176" t="str">
        <x:v>Auto Show existe mais pas un solveur de mise en scène complet.</x:v>
      </x:c>
      <x:c r="G78" s="176" t="str">
        <x:v>Zones libres, distance de caméra, évitement danseurs/props et seed reproductible.</x:v>
      </x:c>
      <x:c r="H78" s="176" t="str">
        <x:v>Même seed = même implantation ; aucune collision grossière dans le corpus de scènes.</x:v>
      </x:c>
      <x:c r="I78" s="176" t="str">
        <x:v>src/stage.js ; src/autoshow-core.js ; examples/ ; AUDIT_V28.json A34 et A39</x:v>
      </x:c>
      <x:c r="J78" s="176" t="str">
        <x:v>ART-02</x:v>
      </x:c>
      <x:c r="K78" s="176" t="str">
        <x:v>Non certifié ; critère à exécuter</x:v>
      </x:c>
    </x:row>
    <x:row r="79" ht="110" customHeight="1">
      <x:c r="A79" s="18" t="str">
        <x:v>ART-05</x:v>
      </x:c>
      <x:c r="B79" s="18" t="str">
        <x:v>Scènes, accessoires et contenu</x:v>
      </x:c>
      <x:c r="C79" s="18" t="str">
        <x:v>P2</x:v>
      </x:c>
      <x:c r="D79" s="18" t="str">
        <x:v>À faire</x:v>
      </x:c>
      <x:c r="E79" s="18" t="str">
        <x:v>Presets artistiques cohérents</x:v>
      </x:c>
      <x:c r="F79" s="18" t="str">
        <x:v>Éclairage et plans sont générés mais qualité artistique non finalisée.</x:v>
      </x:c>
      <x:c r="G79" s="18" t="str">
        <x:v>Palettes, ratios de lumière, transitions et cadrages par ambiance.</x:v>
      </x:c>
      <x:c r="H79" s="18" t="str">
        <x:v>Trois directions artistiques reconnaissables et lisibles pendant le jeu.</x:v>
      </x:c>
      <x:c r="I79" s="18" t="str">
        <x:v>src/stage.js ; src/autoshow-core.js ; examples/ ; AUDIT_V28.json A34 et A39</x:v>
      </x:c>
      <x:c r="J79" s="18" t="str">
        <x:v>ANI-11</x:v>
      </x:c>
      <x:c r="K79" s="18" t="str">
        <x:v>Non certifié ; critère à exécuter</x:v>
      </x:c>
    </x:row>
    <x:row r="80" ht="110" customHeight="1">
      <x:c r="A80" s="176" t="str">
        <x:v>ART-06</x:v>
      </x:c>
      <x:c r="B80" s="176" t="str">
        <x:v>Scènes, accessoires et contenu</x:v>
      </x:c>
      <x:c r="C80" s="176" t="str">
        <x:v>P2</x:v>
      </x:c>
      <x:c r="D80" s="176" t="str">
        <x:v>À faire</x:v>
      </x:c>
      <x:c r="E80" s="176" t="str">
        <x:v>Catalogue de démonstration final</x:v>
      </x:c>
      <x:c r="F80" s="176" t="str">
        <x:v>Trois démonstrations et médias de contrôle présents.</x:v>
      </x:c>
      <x:c r="G80" s="176" t="str">
        <x:v>Ajouter morceaux originaux ou autorisés avec partitions relues et PV propres.</x:v>
      </x:c>
      <x:c r="H80" s="176" t="str">
        <x:v>Aucun média propriétaire ajouté sans provenance ; tous les niveaux joués et évalués.</x:v>
      </x:c>
      <x:c r="I80" s="176" t="str">
        <x:v>src/stage.js ; src/autoshow-core.js ; examples/ ; AUDIT_V28.json A34 et A39</x:v>
      </x:c>
      <x:c r="J80" s="176" t="str">
        <x:v>MAP-01</x:v>
      </x:c>
      <x:c r="K80" s="176" t="str">
        <x:v>Non certifié ; critère à exécuter</x:v>
      </x:c>
    </x:row>
    <x:row r="81" ht="110" customHeight="1">
      <x:c r="A81" s="18" t="str">
        <x:v>PER-01</x:v>
      </x:c>
      <x:c r="B81" s="18" t="str">
        <x:v>Performance et robustesse</x:v>
      </x:c>
      <x:c r="C81" s="18" t="str">
        <x:v>P1</x:v>
      </x:c>
      <x:c r="D81" s="18" t="str">
        <x:v>Partiel</x:v>
      </x:c>
      <x:c r="E81" s="18" t="str">
        <x:v>Budget de frame et priorité audio</x:v>
      </x:c>
      <x:c r="F81" s="18" t="str">
        <x:v>Les benchmarks synthétiques ne représentent pas une partie longue sur appareils.</x:v>
      </x:c>
      <x:c r="G81" s="18" t="str">
        <x:v>V33 borne la nouvelle couche à 48 impacts, 12 voix audio et 96 buffers en cache. Budget de frame global et priorité audio sur matériel réel encore à mesurer. V34 prépare les buffers de la signature choisie avant la première note ; une substitution de contexte libère les anciennes voix avant le contrôle de capacité.</x:v>
      </x:c>
      <x:c r="H81" s="18" t="str">
        <x:v>Rapport p50/p95/p99, pas de sous-alimentation audio et paliers de qualité explicites.</x:v>
      </x:c>
      <x:c r="I81" s="18" t="str">
        <x:v>src/stage.js ; src/secondary-physics.js ; src/bundle-core.js ; src/services.js ; AUDIT_V28.json A31 ; src/feedback33.js ; tests/v33.test.cjs ; tests/v33_browser_test.py ; qa/v33/feedback/results.json ; tests/v34.test.cjs</x:v>
      </x:c>
      <x:c r="J81" s="18" t="str">
        <x:v>QA-03</x:v>
      </x:c>
      <x:c r="K81" s="18" t="str">
        <x:v>Non certifié ; critère à exécuter</x:v>
      </x:c>
    </x:row>
    <x:row r="82" ht="110" customHeight="1">
      <x:c r="A82" s="176" t="str">
        <x:v>PER-02</x:v>
      </x:c>
      <x:c r="B82" s="176" t="str">
        <x:v>Performance et robustesse</x:v>
      </x:c>
      <x:c r="C82" s="176" t="str">
        <x:v>P1</x:v>
      </x:c>
      <x:c r="D82" s="176" t="str">
        <x:v>À faire</x:v>
      </x:c>
      <x:c r="E82" s="176" t="str">
        <x:v>Budgets mémoire/GPU par plateforme</x:v>
      </x:c>
      <x:c r="F82" s="176" t="str">
        <x:v>Le projet n'a pas de plafond réel certifié pour scènes lourdes.</x:v>
      </x:c>
      <x:c r="G82" s="176" t="str">
        <x:v>Mesurer RAM, textures, buffers, corps dynamiques et quatre modèles selon appareil.</x:v>
      </x:c>
      <x:c r="H82" s="176" t="str">
        <x:v>Avertissement avant dépassement et repli contrôlé vers un rendu moins coûteux.</x:v>
      </x:c>
      <x:c r="I82" s="176" t="str">
        <x:v>src/stage.js ; src/secondary-physics.js ; src/bundle-core.js ; src/services.js ; AUDIT_V28.json A31</x:v>
      </x:c>
      <x:c r="J82" s="176" t="str">
        <x:v>MMD-16</x:v>
      </x:c>
      <x:c r="K82" s="176" t="str">
        <x:v>Non certifié ; critère à exécuter</x:v>
      </x:c>
    </x:row>
    <x:row r="83" ht="110" customHeight="1">
      <x:c r="A83" s="18" t="str">
        <x:v>PER-03</x:v>
      </x:c>
      <x:c r="B83" s="18" t="str">
        <x:v>Performance et robustesse</x:v>
      </x:c>
      <x:c r="C83" s="18" t="str">
        <x:v>P1</x:v>
      </x:c>
      <x:c r="D83" s="18" t="str">
        <x:v>Partiel</x:v>
      </x:c>
      <x:c r="E83" s="18" t="str">
        <x:v>Grosses archives et streaming</x:v>
      </x:c>
      <x:c r="F83" s="18" t="str">
        <x:v>Le format binaire existe ; plafonds réels encore ouverts.</x:v>
      </x:c>
      <x:c r="G83" s="18" t="str">
        <x:v>Mesurer pics mémoire et ajouter lecture/écriture progressive quand nécessaire.</x:v>
      </x:c>
      <x:c r="H83" s="18" t="str">
        <x:v>Bibliothèque volumineuse exportée/restaurée avec intégrité, annulation et budget publié.</x:v>
      </x:c>
      <x:c r="I83" s="18" t="str">
        <x:v>src/stage.js ; src/secondary-physics.js ; src/bundle-core.js ; src/services.js ; AUDIT_V28.json A31</x:v>
      </x:c>
      <x:c r="J83" s="18" t="str">
        <x:v>SAV-10</x:v>
      </x:c>
      <x:c r="K83" s="18" t="str">
        <x:v>Non certifié ; critère à exécuter</x:v>
      </x:c>
    </x:row>
    <x:row r="84" ht="110" customHeight="1">
      <x:c r="A84" s="176" t="str">
        <x:v>PER-04</x:v>
      </x:c>
      <x:c r="B84" s="176" t="str">
        <x:v>Performance et robustesse</x:v>
      </x:c>
      <x:c r="C84" s="176" t="str">
        <x:v>P1</x:v>
      </x:c>
      <x:c r="D84" s="176" t="str">
        <x:v>À valider</x:v>
      </x:c>
      <x:c r="E84" s="176" t="str">
        <x:v>Session prolongée</x:v>
      </x:c>
      <x:c r="F84" s="176" t="str">
        <x:v>Les tests courts ne couvrent pas plusieurs heures de jeu et d'édition.</x:v>
      </x:c>
      <x:c r="G84" s="176" t="str">
        <x:v>Scénario import/jouer/éditer/exporter répété et mesure mémoire avant/après.</x:v>
      </x:c>
      <x:c r="H84" s="176" t="str">
        <x:v>Pas de fuite croissante, d'accumulation d'écouteurs ni de transport audio fantôme.</x:v>
      </x:c>
      <x:c r="I84" s="176" t="str">
        <x:v>src/stage.js ; src/secondary-physics.js ; src/bundle-core.js ; src/services.js ; AUDIT_V28.json A31</x:v>
      </x:c>
      <x:c r="J84" s="176" t="str">
        <x:v>PER-01</x:v>
      </x:c>
      <x:c r="K84" s="176" t="str">
        <x:v>Non certifié ; critère à exécuter</x:v>
      </x:c>
    </x:row>
    <x:row r="85" ht="110" customHeight="1">
      <x:c r="A85" s="18" t="str">
        <x:v>PER-05</x:v>
      </x:c>
      <x:c r="B85" s="18" t="str">
        <x:v>Performance et robustesse</x:v>
      </x:c>
      <x:c r="C85" s="18" t="str">
        <x:v>P1</x:v>
      </x:c>
      <x:c r="D85" s="18" t="str">
        <x:v>À valider</x:v>
      </x:c>
      <x:c r="E85" s="18" t="str">
        <x:v>Dynamique à cadence variable</x:v>
      </x:c>
      <x:c r="F85" s="18" t="str">
        <x:v>V28 améliore le retard borné ; matériel réel toujours non certifié.</x:v>
      </x:c>
      <x:c r="G85" s="18" t="str">
        <x:v>Tester changements de cadence, pause, seek, onglet suspendu et surcharge.</x:v>
      </x:c>
      <x:c r="H85" s="18" t="str">
        <x:v>Dette bornée, remise à zéro expliquée et aucune explosion numérique.</x:v>
      </x:c>
      <x:c r="I85" s="18" t="str">
        <x:v>src/stage.js ; src/secondary-physics.js ; src/bundle-core.js ; src/services.js ; AUDIT_V28.json A31</x:v>
      </x:c>
      <x:c r="J85" s="18" t="str">
        <x:v>MMD-01</x:v>
      </x:c>
      <x:c r="K85" s="18" t="str">
        <x:v>Non certifié ; critère à exécuter</x:v>
      </x:c>
    </x:row>
    <x:row r="86" ht="110" customHeight="1">
      <x:c r="A86" s="176" t="str">
        <x:v>PER-06</x:v>
      </x:c>
      <x:c r="B86" s="176" t="str">
        <x:v>Performance et robustesse</x:v>
      </x:c>
      <x:c r="C86" s="176" t="str">
        <x:v>P2</x:v>
      </x:c>
      <x:c r="D86" s="176" t="str">
        <x:v>À faire</x:v>
      </x:c>
      <x:c r="E86" s="176" t="str">
        <x:v>Analyse musicale hors du fil principal</x:v>
      </x:c>
      <x:c r="F86" s="176" t="str">
        <x:v>La réactivité pendant les phases lourdes reste à mesurer.</x:v>
      </x:c>
      <x:c r="G86" s="176" t="str">
        <x:v>Identifier tâches coûteuses, déplacer ce qui convient dans un Worker et gérer annulation.</x:v>
      </x:c>
      <x:c r="H86" s="176" t="str">
        <x:v>Interface réactive pendant analyse ; résultats déterministes et messages d'erreur fiables.</x:v>
      </x:c>
      <x:c r="I86" s="176" t="str">
        <x:v>src/stage.js ; src/secondary-physics.js ; src/bundle-core.js ; src/services.js ; AUDIT_V28.json A31</x:v>
      </x:c>
      <x:c r="J86" s="176" t="str">
        <x:v>MAP-08</x:v>
      </x:c>
      <x:c r="K86" s="176" t="str">
        <x:v>Non certifié ; critère à exécuter</x:v>
      </x:c>
    </x:row>
    <x:row r="87" ht="110" customHeight="1">
      <x:c r="A87" s="18" t="str">
        <x:v>UX-01</x:v>
      </x:c>
      <x:c r="B87" s="18" t="str">
        <x:v>Interface et accessibilité</x:v>
      </x:c>
      <x:c r="C87" s="18" t="str">
        <x:v>P1</x:v>
      </x:c>
      <x:c r="D87" s="18" t="str">
        <x:v>À valider</x:v>
      </x:c>
      <x:c r="E87" s="18" t="str">
        <x:v>Petites fenêtres et orientations</x:v>
      </x:c>
      <x:c r="F87" s="18" t="str">
        <x:v>Des correctifs responsive existent ; tous les écrans ne sont pas validés.</x:v>
      </x:c>
      <x:c r="G87" s="18" t="str">
        <x:v>Inventorier bibliothèque, modules, studio, réglages, partie, résultats et modales.</x:v>
      </x:c>
      <x:c r="H87" s="18" t="str">
        <x:v>Aucun bouton masqué à 390×844 et 800×520 ; vérification sur vrai mobile séparée.</x:v>
      </x:c>
      <x:c r="I87" s="18" t="str">
        <x:v>src/template.html ; src/style.css ; src/director.css ; src/app.js</x:v>
      </x:c>
      <x:c r="J87" s="18" t="str">
        <x:v>QA-03</x:v>
      </x:c>
      <x:c r="K87" s="18" t="str">
        <x:v>Non certifié ; critère à exécuter</x:v>
      </x:c>
    </x:row>
    <x:row r="88" ht="110" customHeight="1">
      <x:c r="A88" s="176" t="str">
        <x:v>UX-02</x:v>
      </x:c>
      <x:c r="B88" s="176" t="str">
        <x:v>Interface et accessibilité</x:v>
      </x:c>
      <x:c r="C88" s="176" t="str">
        <x:v>P1</x:v>
      </x:c>
      <x:c r="D88" s="176" t="str">
        <x:v>À valider</x:v>
      </x:c>
      <x:c r="E88" s="176" t="str">
        <x:v>Navigation sans souris</x:v>
      </x:c>
      <x:c r="F88" s="176" t="str">
        <x:v>Director V29 améliore la sélection ; parcours complet non certifié.</x:v>
      </x:c>
      <x:c r="G88" s="176" t="str">
        <x:v>Ordre de focus, retour de modale, labels, états désactivés et raccourcis cohérents.</x:v>
      </x:c>
      <x:c r="H88" s="176" t="str">
        <x:v>Ajouter un morceau, modifier et exporter entièrement au clavier.</x:v>
      </x:c>
      <x:c r="I88" s="176" t="str">
        <x:v>src/template.html ; src/style.css ; src/director.css ; src/app.js</x:v>
      </x:c>
      <x:c r="J88" s="176" t="str">
        <x:v>DIR-11</x:v>
      </x:c>
      <x:c r="K88" s="176" t="str">
        <x:v>Non certifié ; critère à exécuter</x:v>
      </x:c>
    </x:row>
    <x:row r="89" ht="110" customHeight="1">
      <x:c r="A89" s="18" t="str">
        <x:v>UX-03</x:v>
      </x:c>
      <x:c r="B89" s="18" t="str">
        <x:v>Interface et accessibilité</x:v>
      </x:c>
      <x:c r="C89" s="18" t="str">
        <x:v>P2</x:v>
      </x:c>
      <x:c r="D89" s="18" t="str">
        <x:v>Partiel</x:v>
      </x:c>
      <x:c r="E89" s="18" t="str">
        <x:v>Lisibilité pendant un spectacle dense</x:v>
      </x:c>
      <x:c r="F89" s="18" t="str">
        <x:v>Arrière-plans assombris disponibles ; toutes scènes non contrôlées.</x:v>
      </x:c>
      <x:c r="G89" s="18" t="str">
        <x:v>V33 apporte des impacts différenciés, un plafond d'effets, une jauge de maintien et une intensité réglable. Lisibilité de spectacles MMD denses sur appareils réels à poursuivre. V34 ajoute une jauge HOLD par piste indépendante des éclats décoratifs, désactivable, avec vérification à 390 px. V35 maintient les notes visibles jusqu’à la fin de la fenêtre de jugement du profil réellement actif, y compris Accessible.</x:v>
      </x:c>
      <x:c r="H89" s="18" t="str">
        <x:v>Notes et informations cruciales restent lisibles sur les scènes les plus lumineuses.</x:v>
      </x:c>
      <x:c r="I89" s="18" t="str">
        <x:v>src/template.html ; src/style.css ; src/director.css ; src/app.js ; src/feedback33.js ; tests/v33.test.cjs ; tests/v33_browser_test.py ; qa/v33/feedback/results.json ; src/live-feedback34.js ; src/live-core.js ; tests/rules-contract.test.cjs</x:v>
      </x:c>
      <x:c r="J89" s="18" t="str">
        <x:v>ART-05</x:v>
      </x:c>
      <x:c r="K89" s="18" t="str">
        <x:v>Rendu drawGame instrumenté en logiciel aux frontières des trois profils ; lisibilité de scènes MMD denses sur appareils réels encore ouverte.</x:v>
      </x:c>
    </x:row>
    <x:row r="90" ht="110" customHeight="1">
      <x:c r="A90" s="176" t="str">
        <x:v>UX-04</x:v>
      </x:c>
      <x:c r="B90" s="176" t="str">
        <x:v>Interface et accessibilité</x:v>
      </x:c>
      <x:c r="C90" s="176" t="str">
        <x:v>P1</x:v>
      </x:c>
      <x:c r="D90" s="176" t="str">
        <x:v>À valider</x:v>
      </x:c>
      <x:c r="E90" s="176" t="str">
        <x:v>Lecteurs d'écran et annonces</x:v>
      </x:c>
      <x:c r="F90" s="176" t="str">
        <x:v>Des rôles et labels existent mais aucun audit assistif complet.</x:v>
      </x:c>
      <x:c r="G90" s="176" t="str">
        <x:v>Tester annonces utiles, silence des mises à jour rapides et intitulés d'actions.</x:v>
      </x:c>
      <x:c r="H90" s="176" t="str">
        <x:v>Parcours menus et montage compréhensible sans surcharge d'annonces.</x:v>
      </x:c>
      <x:c r="I90" s="176" t="str">
        <x:v>src/template.html ; src/style.css ; src/director.css ; src/app.js</x:v>
      </x:c>
      <x:c r="J90" s="176" t="str">
        <x:v>UX-02</x:v>
      </x:c>
      <x:c r="K90" s="176" t="str">
        <x:v>Non certifié ; critère à exécuter</x:v>
      </x:c>
    </x:row>
    <x:row r="91" ht="110" hidden="0" customHeight="1">
      <x:c r="A91" s="18" t="str">
        <x:v>UX-05</x:v>
      </x:c>
      <x:c r="B91" s="18" t="str">
        <x:v>Interface et accessibilité</x:v>
      </x:c>
      <x:c r="C91" s="18" t="str">
        <x:v>P2</x:v>
      </x:c>
      <x:c r="D91" s="18" t="str">
        <x:v>Partiel</x:v>
      </x:c>
      <x:c r="E91" s="18" t="str">
        <x:v>Réduction de mouvement complète</x:v>
      </x:c>
      <x:c r="F91" s="18" t="str">
        <x:v>Option présente ; couverture des nouveaux mouvements à garantir.</x:v>
      </x:c>
      <x:c r="G91" s="18" t="str">
        <x:v>V33 limite le feedback et calme la scène. V36 stabilise vue et projection des caméras Director/VMD, coupes et Auto Show, décor et lumière ; unifie la préférence système dynamique et le choix utilisateur pour WebGL, Canvas et CSS. Le choix utilisateur est promu après sauvegarde réussie ; un refus conserve l’état précédent et affiche l’erreur. HUD, HOLD, pistes et score sont préservés.</x:v>
      </x:c>
      <x:c r="H91" s="18" t="str">
        <x:v>Aucun plan automatique intense avec option active ; informations conservées.</x:v>
      </x:c>
      <x:c r="I91" s="18" t="str">
        <x:v>src/template.html ; src/style.css ; src/director.css ; src/app.js ; src/feedback33.js ; tests/v33.test.cjs ; tests/v33_browser_test.py ; qa/v33/feedback/results.json ; V36 : src/stage.js ; src/feedback33.js ; src/live-app.js ; src/style.css ; src/app.js ; tests/v36-motion.test.cjs ; tests/v36_motion_browser.py ; qa/v36/motion/results.json ; docs/V36_ARCHIVES_SCENE_CALME.md</x:v>
      </x:c>
      <x:c r="J91" s="18" t="str">
        <x:v>ANI-11</x:v>
      </x:c>
      <x:c r="K91" s="18" t="str">
        <x:v>Cadrage fondé sur les positions déclarées ; corpus ANI-11 encore ouvert. Danse MMD/GLB et vidéos source non modifiées. Préférences système émulées et GPU logiciel ; appareils physiques et sensibilités individuelles non qualifiés.</x:v>
      </x:c>
    </x:row>
    <x:row r="92" ht="110" customHeight="1">
      <x:c r="A92" s="176" t="str">
        <x:v>UX-06</x:v>
      </x:c>
      <x:c r="B92" s="176" t="str">
        <x:v>Interface et accessibilité</x:v>
      </x:c>
      <x:c r="C92" s="176" t="str">
        <x:v>P2</x:v>
      </x:c>
      <x:c r="D92" s="176" t="str">
        <x:v>À faire</x:v>
      </x:c>
      <x:c r="E92" s="176" t="str">
        <x:v>États vide, erreur et reprise uniformes</x:v>
      </x:c>
      <x:c r="F92" s="176" t="str">
        <x:v>Extensions historiques génèrent des messages de styles variés.</x:v>
      </x:c>
      <x:c r="G92" s="176" t="str">
        <x:v>Unifier messages, actions réessayer/exporter et détail technique copiable.</x:v>
      </x:c>
      <x:c r="H92" s="176" t="str">
        <x:v>Chaque échec laisse une action claire et ne prétend pas qu'une sauvegarde a réussi.</x:v>
      </x:c>
      <x:c r="I92" s="176" t="str">
        <x:v>src/template.html ; src/style.css ; src/director.css ; src/app.js</x:v>
      </x:c>
      <x:c r="J92" s="176" t="str">
        <x:v>ARC-01</x:v>
      </x:c>
      <x:c r="K92" s="176" t="str">
        <x:v>Non certifié ; critère à exécuter</x:v>
      </x:c>
    </x:row>
    <x:row r="93" ht="110" customHeight="1">
      <x:c r="A93" s="18" t="str">
        <x:v>QA-01</x:v>
      </x:c>
      <x:c r="B93" s="18" t="str">
        <x:v>Tests et validation</x:v>
      </x:c>
      <x:c r="C93" s="18" t="str">
        <x:v>P0</x:v>
      </x:c>
      <x:c r="D93" s="18" t="str">
        <x:v>Fait</x:v>
      </x:c>
      <x:c r="E93" s="18" t="str">
        <x:v>Parcours navigateur de même origine</x:v>
      </x:c>
      <x:c r="F93" s="18" t="str">
        <x:v>Le banc local interdit localhost ; les runs GitHub V29 ont néanmoins exécuté le parcours HTTP natif.</x:v>
      </x:c>
      <x:c r="G93" s="18" t="str">
        <x:v>CI réelle sur GitHub et mode document injecté explicitement distinct en local.</x:v>
      </x:c>
      <x:c r="H93" s="18" t="str">
        <x:v>Preuves de persistance, multi-onglets et service worker avec origine stable.</x:v>
      </x:c>
      <x:c r="I93" s="18" t="str">
        <x:v>https://github.com/darknigthmare/Diva-Pulse/blob/feat/v30-director-workflow/tests/v30_browser_test.py</x:v>
      </x:c>
      <x:c r="J93" s="18" t="str">
        <x:v>—</x:v>
      </x:c>
      <x:c r="K93" s="18" t="str">
        <x:v>Aucune confusion entre document injecté et persistance native.</x:v>
      </x:c>
    </x:row>
    <x:row r="94" ht="110" customHeight="1">
      <x:c r="A94" s="176" t="str">
        <x:v>QA-02</x:v>
      </x:c>
      <x:c r="B94" s="176" t="str">
        <x:v>Tests et validation</x:v>
      </x:c>
      <x:c r="C94" s="176" t="str">
        <x:v>P1</x:v>
      </x:c>
      <x:c r="D94" s="176" t="str">
        <x:v>À valider</x:v>
      </x:c>
      <x:c r="E94" s="176" t="str">
        <x:v>Safari et Firefox réels</x:v>
      </x:c>
      <x:c r="F94" s="176" t="str">
        <x:v>Les passes actuelles sont Chromium/SwiftShader.</x:v>
      </x:c>
      <x:c r="G94" s="176" t="str">
        <x:v>Tester imports, audio, encodages, rendu, exports et erreurs dans les autres moteurs.</x:v>
      </x:c>
      <x:c r="H94" s="176" t="str">
        <x:v>Rapport par moteur/version ; aucune extrapolation de Chromium vers Safari.</x:v>
      </x:c>
      <x:c r="I94" s="176" t="str">
        <x:v>tests/ ; qa/v29/ ; AUDIT_V28.json A35–A37</x:v>
      </x:c>
      <x:c r="J94" s="176" t="str">
        <x:v>SAV-03</x:v>
      </x:c>
      <x:c r="K94" s="176" t="str">
        <x:v>Non certifié ; critère à exécuter</x:v>
      </x:c>
    </x:row>
    <x:row r="95" ht="110" customHeight="1">
      <x:c r="A95" s="18" t="str">
        <x:v>QA-03</x:v>
      </x:c>
      <x:c r="B95" s="18" t="str">
        <x:v>Tests et validation</x:v>
      </x:c>
      <x:c r="C95" s="18" t="str">
        <x:v>P1</x:v>
      </x:c>
      <x:c r="D95" s="18" t="str">
        <x:v>À valider</x:v>
      </x:c>
      <x:c r="E95" s="18" t="str">
        <x:v>Appareils physiques et contrôleurs</x:v>
      </x:c>
      <x:c r="F95" s="18" t="str">
        <x:v>Pas de séance sur iPhone, Android, GPU intégré/dédié ou pads physiques.</x:v>
      </x:c>
      <x:c r="G95" s="18" t="str">
        <x:v>Définir matrice et capturer versions, configuration, latences et anomalies.</x:v>
      </x:c>
      <x:c r="H95" s="18" t="str">
        <x:v>Rapport par appareil et scénario ; tests de bureau simulés bien séparés.</x:v>
      </x:c>
      <x:c r="I95" s="18" t="str">
        <x:v>tests/ ; qa/v29/ ; AUDIT_V28.json A35–A37</x:v>
      </x:c>
      <x:c r="J95" s="18" t="str">
        <x:v>—</x:v>
      </x:c>
      <x:c r="K95" s="18" t="str">
        <x:v>Non certifié ; critère à exécuter</x:v>
      </x:c>
    </x:row>
    <x:row r="96" ht="110" customHeight="1">
      <x:c r="A96" s="176" t="str">
        <x:v>QA-04</x:v>
      </x:c>
      <x:c r="B96" s="176" t="str">
        <x:v>Tests et validation</x:v>
      </x:c>
      <x:c r="C96" s="176" t="str">
        <x:v>P1</x:v>
      </x:c>
      <x:c r="D96" s="176" t="str">
        <x:v>Fait</x:v>
      </x:c>
      <x:c r="E96" s="176" t="str">
        <x:v>Tests natifs automatiques de transaction</x:v>
      </x:c>
      <x:c r="F96" s="176" t="str">
        <x:v>Le parcours V32 utilise une vraie base et une transaction native interrompue après un vrai succès IDBRequest.</x:v>
      </x:c>
      <x:c r="G96" s="176" t="str">
        <x:v>Suite native de 11 contrôles : vrai IDBRequest, abort de transaction, suppression/écriture, caches, Studio, nouvelle tentative et rechargement.</x:v>
      </x:c>
      <x:c r="H96" s="176" t="str">
        <x:v>Même atomicité observée dans les lignes, octets et caches, puis après rechargement. Les 11 contrôles natifs sont présents et rattachés au build.</x:v>
      </x:c>
      <x:c r="I96" s="176" t="str">
        <x:v>tests/v32_transactions_test.py ; qa/v32/transactions/results.json</x:v>
      </x:c>
      <x:c r="J96" s="176" t="str">
        <x:v>QA-01</x:v>
      </x:c>
      <x:c r="K96" s="176" t="str">
        <x:v>V32 native validée sur GitHub Actions 40522984445, build 22bdfe014b57. Chromium/SwiftShader ; aucun matériel physique certifié.</x:v>
      </x:c>
    </x:row>
    <x:row r="97" ht="110" customHeight="1">
      <x:c r="A97" s="18" t="str">
        <x:v>QA-05</x:v>
      </x:c>
      <x:c r="B97" s="18" t="str">
        <x:v>Tests et validation</x:v>
      </x:c>
      <x:c r="C97" s="18" t="str">
        <x:v>P1</x:v>
      </x:c>
      <x:c r="D97" s="18" t="str">
        <x:v>Fait</x:v>
      </x:c>
      <x:c r="E97" s="18" t="str">
        <x:v>Régression logiques V28 et opérations V29</x:v>
      </x:c>
      <x:c r="F97" s="18" t="str">
        <x:v>La base récupérée possède 782 tests ; V29 ajoute 39 cas ciblés.</x:v>
      </x:c>
      <x:c r="G97" s="18" t="str">
        <x:v>Suite complète V30 : 862 tests logiques, dont 52 nouveaux ; aucun ignoré.</x:v>
      </x:c>
      <x:c r="H97" s="18" t="str">
        <x:v>821 tests sans échec dans la passe de livraison, sous réserve du rapport final.</x:v>
      </x:c>
      <x:c r="I97" s="18" t="str">
        <x:v>https://github.com/darknigthmare/Diva-Pulse/blob/feat/v30-director-workflow/qa/v30/logic.tap</x:v>
      </x:c>
      <x:c r="J97" s="18" t="str">
        <x:v>—</x:v>
      </x:c>
      <x:c r="K97" s="18" t="str">
        <x:v>Exécuté localement sur le build V30 ; corpus déterministe d'accrochage inclus.</x:v>
      </x:c>
    </x:row>
    <x:row r="98" ht="110" customHeight="1">
      <x:c r="A98" s="176" t="str">
        <x:v>QA-06</x:v>
      </x:c>
      <x:c r="B98" s="176" t="str">
        <x:v>Tests et validation</x:v>
      </x:c>
      <x:c r="C98" s="176" t="str">
        <x:v>P1</x:v>
      </x:c>
      <x:c r="D98" s="176" t="str">
        <x:v>Fait</x:v>
      </x:c>
      <x:c r="E98" s="176" t="str">
        <x:v>Parcours Director V29 dans Chromium</x:v>
      </x:c>
      <x:c r="F98" s="176" t="str">
        <x:v>Vérification UI réelle nécessaire au-delà des helpers.</x:v>
      </x:c>
      <x:c r="G98" s="176" t="str">
        <x:v>Parcours V29 conservé : 23 contrôles. Nouveau parcours V30 : 18 contrôles ; ne pas additionner les reprises du même scénario.</x:v>
      </x:c>
      <x:c r="H98" s="176" t="str">
        <x:v>Rapport navigateur V29 et captures, sans prétention de persistance native.</x:v>
      </x:c>
      <x:c r="I98" s="176" t="str">
        <x:v>https://github.com/darknigthmare/Diva-Pulse/blob/feat/v30-director-workflow/qa/v30/workflow/results.json</x:v>
      </x:c>
      <x:c r="J98" s="176" t="str">
        <x:v>DIR-03</x:v>
      </x:c>
      <x:c r="K98" s="176" t="str">
        <x:v>Chromium/SwiftShader local avec document injecté. La CI exécute en plus la même origine HTTP.</x:v>
      </x:c>
    </x:row>
    <x:row r="99" ht="110" customHeight="1">
      <x:c r="A99" s="18" t="str">
        <x:v>QA-07</x:v>
      </x:c>
      <x:c r="B99" s="18" t="str">
        <x:v>Tests et validation</x:v>
      </x:c>
      <x:c r="C99" s="18" t="str">
        <x:v>P1</x:v>
      </x:c>
      <x:c r="D99" s="18" t="str">
        <x:v>À valider</x:v>
      </x:c>
      <x:c r="E99" s="18" t="str">
        <x:v>Tests utilisateurs de rythme et montage</x:v>
      </x:c>
      <x:c r="F99" s="18" t="str">
        <x:v>Les assertions automatiques ne prouvent pas plaisir de jeu ni ergonomie.</x:v>
      </x:c>
      <x:c r="G99" s="18" t="str">
        <x:v>Faire jouer puis monter un PV à plusieurs profils ; consigner difficultés et corrections.</x:v>
      </x:c>
      <x:c r="H99" s="18" t="str">
        <x:v>Résultats observés, pas de testeurs fictifs ni de validation commerciale prématurée.</x:v>
      </x:c>
      <x:c r="I99" s="18" t="str">
        <x:v>tests/ ; qa/v29/ ; AUDIT_V28.json A35–A37</x:v>
      </x:c>
      <x:c r="J99" s="18" t="str">
        <x:v>MAP-02</x:v>
      </x:c>
      <x:c r="K99" s="18" t="str">
        <x:v>Non certifié ; critère à exécuter</x:v>
      </x:c>
    </x:row>
    <x:row r="100" ht="110" customHeight="1">
      <x:c r="A100" s="176" t="str">
        <x:v>QA-08</x:v>
      </x:c>
      <x:c r="B100" s="176" t="str">
        <x:v>Tests et validation</x:v>
      </x:c>
      <x:c r="C100" s="176" t="str">
        <x:v>P2</x:v>
      </x:c>
      <x:c r="D100" s="176" t="str">
        <x:v>À faire</x:v>
      </x:c>
      <x:c r="E100" s="176" t="str">
        <x:v>Régression visuelle reproductible</x:v>
      </x:c>
      <x:c r="F100" s="176" t="str">
        <x:v>Des captures existent mais pas un contrôle exhaustif des écarts visuels.</x:v>
      </x:c>
      <x:c r="G100" s="176" t="str">
        <x:v>Captures à temps/seed/caméra fixes et tolérances explicites.</x:v>
      </x:c>
      <x:c r="H100" s="176" t="str">
        <x:v>Un changement de shader ou CSS révèle les régressions pertinentes, pas le bruit GPU.</x:v>
      </x:c>
      <x:c r="I100" s="176" t="str">
        <x:v>tests/ ; qa/v29/ ; AUDIT_V28.json A35–A37</x:v>
      </x:c>
      <x:c r="J100" s="176" t="str">
        <x:v>MMD-14</x:v>
      </x:c>
      <x:c r="K100" s="176" t="str">
        <x:v>Non certifié ; critère à exécuter</x:v>
      </x:c>
    </x:row>
    <x:row r="101" ht="110" customHeight="1">
      <x:c r="A101" s="18" t="str">
        <x:v>PUB-01</x:v>
      </x:c>
      <x:c r="B101" s="18" t="str">
        <x:v>Publication et livraison</x:v>
      </x:c>
      <x:c r="C101" s="18" t="str">
        <x:v>P0</x:v>
      </x:c>
      <x:c r="D101" s="18" t="str">
        <x:v>Fait</x:v>
      </x:c>
      <x:c r="E101" s="18" t="str">
        <x:v>Publier le projet sur GitHub</x:v>
      </x:c>
      <x:c r="F101" s="18" t="str">
        <x:v>Le projet complet est déjà sur main 1552fd8.</x:v>
      </x:c>
      <x:c r="G101" s="18" t="str">
        <x:v>Travail V30 isolé dans une branche et la PR #1 ; main n'est ni écrasée ni fusionnée.</x:v>
      </x:c>
      <x:c r="H101" s="18" t="str">
        <x:v>Le code distant reste intact ; le complément est vérifié après publication.</x:v>
      </x:c>
      <x:c r="I101" s="18" t="str">
        <x:v>https://github.com/darknigthmare/Diva-Pulse/pull/1</x:v>
      </x:c>
      <x:c r="J101" s="18" t="str">
        <x:v>—</x:v>
      </x:c>
      <x:c r="K101" s="18" t="str">
        <x:v>Publication de la proposition, pas une mise en production.</x:v>
      </x:c>
    </x:row>
    <x:row r="102" ht="110" customHeight="1">
      <x:c r="A102" s="176" t="str">
        <x:v>PUB-02</x:v>
      </x:c>
      <x:c r="B102" s="176" t="str">
        <x:v>Publication et livraison</x:v>
      </x:c>
      <x:c r="C102" s="176" t="str">
        <x:v>P0</x:v>
      </x:c>
      <x:c r="D102" s="176" t="str">
        <x:v>Fait</x:v>
      </x:c>
      <x:c r="E102" s="176" t="str">
        <x:v>Publier l'Excel dans le dépôt</x:v>
      </x:c>
      <x:c r="F102" s="176" t="str">
        <x:v>Le classeur V29 n'avait pas été publié par la passe précédente.</x:v>
      </x:c>
      <x:c r="G102" s="176" t="str">
        <x:v>Ajouter planning/DIVA_PULSE_MANQUANTS_V30.xlsx, le JSON source et le CSV dans la PR #1 ; garder le suivi historique.</x:v>
      </x:c>
      <x:c r="H102" s="176" t="str">
        <x:v>Fichier XLSX présent dans la branche, ZIP Office valide, empreinte contrôlée après publication.</x:v>
      </x:c>
      <x:c r="I102" s="176" t="str">
        <x:v>https://github.com/darknigthmare/Diva-Pulse/blob/feat/v30-director-workflow/planning/DIVA_PULSE_MANQUANTS_V30.xlsx</x:v>
      </x:c>
      <x:c r="J102" s="176" t="str">
        <x:v>PUB-01</x:v>
      </x:c>
      <x:c r="K102" s="176" t="str">
        <x:v>Livraison dans une PR ouverte, non fusionnée ; statut à vérifier avec le reçu de cette livraison.</x:v>
      </x:c>
    </x:row>
    <x:row r="103" ht="110" customHeight="1">
      <x:c r="A103" s="18" t="str">
        <x:v>PUB-03</x:v>
      </x:c>
      <x:c r="B103" s="18" t="str">
        <x:v>Publication et livraison</x:v>
      </x:c>
      <x:c r="C103" s="18" t="str">
        <x:v>P1</x:v>
      </x:c>
      <x:c r="D103" s="18" t="str">
        <x:v>Partiel</x:v>
      </x:c>
      <x:c r="E103" s="18" t="str">
        <x:v>CI et contrôles de fusion</x:v>
      </x:c>
      <x:c r="F103" s="18" t="str">
        <x:v>Les anciens workflows pouvaient pousser vers main depuis une autre branche.</x:v>
      </x:c>
      <x:c r="G103" s="18" t="str">
        <x:v>Remplacer par une CI de PR en lecture seule ; vérifier build, logique et navigateurs. La protection obligatoire de branche reste à configurer par le propriétaire.</x:v>
      </x:c>
      <x:c r="H103" s="18" t="str">
        <x:v>Un run distant réussi est lié au commit exact ; les tests matériels restent séparés.</x:v>
      </x:c>
      <x:c r="I103" s="18" t="str">
        <x:v>https://github.com/darknigthmare/Diva-Pulse/blob/feat/v30-director-workflow/.github/workflows/quality.yml</x:v>
      </x:c>
      <x:c r="J103" s="18" t="str">
        <x:v>PUB-01</x:v>
      </x:c>
      <x:c r="K103" s="18" t="str">
        <x:v>Aucune règle de protection modifiée dans cette passe.</x:v>
      </x:c>
    </x:row>
    <x:row r="104" ht="110" customHeight="1">
      <x:c r="A104" s="176" t="str">
        <x:v>PUB-04</x:v>
      </x:c>
      <x:c r="B104" s="176" t="str">
        <x:v>Publication et livraison</x:v>
      </x:c>
      <x:c r="C104" s="176" t="str">
        <x:v>P1</x:v>
      </x:c>
      <x:c r="D104" s="176" t="str">
        <x:v>Partiel</x:v>
      </x:c>
      <x:c r="E104" s="176" t="str">
        <x:v>Installation hors ligne réelle</x:v>
      </x:c>
      <x:c r="F104" s="176" t="str">
        <x:v>Le rapport distant consigne installation du service worker et rechargement hors ligne ; la navigation de ce banc local était bloquée.</x:v>
      </x:c>
      <x:c r="G104" s="176" t="str">
        <x:v>Tests natifs de cache/rechargement hors ligne conservés et repris en CI ; restent installabilité OS, mise à jour pendant une partie et évictions.</x:v>
      </x:c>
      <x:c r="H104" s="176" t="str">
        <x:v>Démarrage offline, conservation des médias locaux et absence de remplacement en pleine partie.</x:v>
      </x:c>
      <x:c r="I104" s="176" t="str">
        <x:v>https://github.com/darknigthmare/Diva-Pulse/blob/a0e78fbb993e57579af6819b09cc85baed4a2983/qa/v29/persistence-run.txt</x:v>
      </x:c>
      <x:c r="J104" s="176" t="str">
        <x:v>QA-01</x:v>
      </x:c>
      <x:c r="K104" s="176" t="str">
        <x:v>Le service worker ne suffit pas à certifier une installation PWA sur iPhone.</x:v>
      </x:c>
    </x:row>
    <x:row r="105" ht="110" customHeight="1">
      <x:c r="A105" s="18" t="str">
        <x:v>PUB-05</x:v>
      </x:c>
      <x:c r="B105" s="18" t="str">
        <x:v>Publication et livraison</x:v>
      </x:c>
      <x:c r="C105" s="18" t="str">
        <x:v>P0</x:v>
      </x:c>
      <x:c r="D105" s="18" t="str">
        <x:v>À faire</x:v>
      </x:c>
      <x:c r="E105" s="18" t="str">
        <x:v>Inventaire de provenance des contenus</x:v>
      </x:c>
      <x:c r="F105" s="18" t="str">
        <x:v>Pas de catalogue propriétaire redistribué ; les nouveaux assets doivent être traçables.</x:v>
      </x:c>
      <x:c r="G105" s="18" t="str">
        <x:v>Documenter auteur, source, licence, empreinte et usage autorisé pour chaque média final.</x:v>
      </x:c>
      <x:c r="H105" s="18" t="str">
        <x:v>Aucun asset final sans fiche de provenance ; fixtures techniques identifiées.</x:v>
      </x:c>
      <x:c r="I105" s="18" t="str">
        <x:v>package.json ; build.py ; README.md ; docs/PUBLICATION_GITHUB.md ; qa/v29/publication.json</x:v>
      </x:c>
      <x:c r="J105" s="18" t="str">
        <x:v>—</x:v>
      </x:c>
      <x:c r="K105" s="18" t="str">
        <x:v>Non certifié ; critère à exécuter</x:v>
      </x:c>
    </x:row>
    <x:row r="106" ht="110" customHeight="1">
      <x:c r="A106" s="176" t="str">
        <x:v>PUB-06</x:v>
      </x:c>
      <x:c r="B106" s="176" t="str">
        <x:v>Publication et livraison</x:v>
      </x:c>
      <x:c r="C106" s="176" t="str">
        <x:v>P1</x:v>
      </x:c>
      <x:c r="D106" s="176" t="str">
        <x:v>À faire</x:v>
      </x:c>
      <x:c r="E106" s="176" t="str">
        <x:v>Version déployée vérifiable</x:v>
      </x:c>
      <x:c r="F106" s="176" t="str">
        <x:v>Un fichier ou dépôt n'implique pas un site publié.</x:v>
      </x:c>
      <x:c r="G106" s="176" t="str">
        <x:v>Choisir un hébergement statique, vérifier URL, build, cache et taille des ressources.</x:v>
      </x:c>
      <x:c r="H106" s="176" t="str">
        <x:v>URL répondant avec V29 ou version suivante ; contrôle des chemins et du cache.</x:v>
      </x:c>
      <x:c r="I106" s="176" t="str">
        <x:v>package.json ; build.py ; README.md ; docs/PUBLICATION_GITHUB.md ; qa/v29/publication.json</x:v>
      </x:c>
      <x:c r="J106" s="176" t="str">
        <x:v>PUB-01</x:v>
      </x:c>
      <x:c r="K106" s="176" t="str">
        <x:v>Non certifié ; critère à exécuter</x:v>
      </x:c>
    </x:row>
    <x:row r="107" ht="110" customHeight="1">
      <x:c r="A107" s="18" t="str">
        <x:v>PUB-07</x:v>
      </x:c>
      <x:c r="B107" s="18" t="str">
        <x:v>Publication et livraison</x:v>
      </x:c>
      <x:c r="C107" s="18" t="str">
        <x:v>P1</x:v>
      </x:c>
      <x:c r="D107" s="18" t="str">
        <x:v>Fait</x:v>
      </x:c>
      <x:c r="E107" s="18" t="str">
        <x:v>Versions et commandes cohérentes</x:v>
      </x:c>
      <x:c r="F107" s="18" t="str">
        <x:v>package.json restait en V27 et lançait des scripts V27.</x:v>
      </x:c>
      <x:c r="G107" s="18" t="str">
        <x:v>Aligner package, core, HTML, cache et scripts sur V29.</x:v>
      </x:c>
      <x:c r="H107" s="18" t="str">
        <x:v>Vérification de cohérence de version et commandes de test présentes.</x:v>
      </x:c>
      <x:c r="I107" s="18" t="str">
        <x:v>package.json ; build.py ; README.md ; docs/PUBLICATION_GITHUB.md ; qa/v29/publication.json</x:v>
      </x:c>
      <x:c r="J107" s="18" t="str">
        <x:v>—</x:v>
      </x:c>
      <x:c r="K107" s="18" t="str">
        <x:v>Code de main 1552fd8 conservé et tests de régression réexécutés sur la branche V30.</x:v>
      </x:c>
    </x:row>
    <x:row r="108" ht="110" customHeight="1">
      <x:c r="A108" s="176" t="str">
        <x:v>PUB-08</x:v>
      </x:c>
      <x:c r="B108" s="176" t="str">
        <x:v>Publication et livraison</x:v>
      </x:c>
      <x:c r="C108" s="176" t="str">
        <x:v>P1</x:v>
      </x:c>
      <x:c r="D108" s="176" t="str">
        <x:v>Fait</x:v>
      </x:c>
      <x:c r="E108" s="176" t="str">
        <x:v>Jeu autonome reconstruit</x:v>
      </x:c>
      <x:c r="F108" s="176" t="str">
        <x:v>Conserver le jeu complet sans reconstruire une version réduite.</x:v>
      </x:c>
      <x:c r="G108" s="176" t="str">
        <x:v>Recompiler index.html et DIVA_PULSE_JOUER.html depuis tous les modules récupérés.</x:v>
      </x:c>
      <x:c r="H108" s="176" t="str">
        <x:v>Deux HTML identiques ; aucune dépendance CDN ajoutée ; tests du build.</x:v>
      </x:c>
      <x:c r="I108" s="176" t="str">
        <x:v>package.json ; build.py ; README.md ; docs/PUBLICATION_GITHUB.md ; qa/v29/publication.json</x:v>
      </x:c>
      <x:c r="J108" s="176" t="str">
        <x:v>—</x:v>
      </x:c>
      <x:c r="K108" s="176" t="str">
        <x:v>Code de main 1552fd8 conservé et tests de régression réexécutés sur la branche V30.</x:v>
      </x:c>
    </x:row>
    <x:row r="109" ht="110" customHeight="1">
      <x:c r="A109" s="18" t="str">
        <x:v>PUB-09</x:v>
      </x:c>
      <x:c r="B109" s="18" t="str">
        <x:v>Publication et livraison</x:v>
      </x:c>
      <x:c r="C109" s="18" t="str">
        <x:v>P2</x:v>
      </x:c>
      <x:c r="D109" s="18" t="str">
        <x:v>À faire</x:v>
      </x:c>
      <x:c r="E109" s="18" t="str">
        <x:v>Packaging desktop et installation</x:v>
      </x:c>
      <x:c r="F109" s="18" t="str">
        <x:v>Les lanceurs Python sont disponibles, pas un installateur signé final.</x:v>
      </x:c>
      <x:c r="G109" s="18" t="str">
        <x:v>Définir distributions, mise à jour, signature éventuelle et données utilisateur.</x:v>
      </x:c>
      <x:c r="H109" s="18" t="str">
        <x:v>Installation, mise à jour et retrait sans perte des bibliothèques exportées.</x:v>
      </x:c>
      <x:c r="I109" s="18" t="str">
        <x:v>package.json ; build.py ; README.md ; docs/PUBLICATION_GITHUB.md ; qa/v29/publication.json</x:v>
      </x:c>
      <x:c r="J109" s="18" t="str">
        <x:v>PUB-05</x:v>
      </x:c>
      <x:c r="K109" s="18" t="str">
        <x:v>Non certifié ; critère à exécuter</x:v>
      </x:c>
    </x:row>
    <x:row r="110" ht="110" customHeight="1">
      <x:c r="A110" s="176" t="str">
        <x:v>ARC-01</x:v>
      </x:c>
      <x:c r="B110" s="176" t="str">
        <x:v>Architecture et maintenance</x:v>
      </x:c>
      <x:c r="C110" s="176" t="str">
        <x:v>P1</x:v>
      </x:c>
      <x:c r="D110" s="176" t="str">
        <x:v>Partiel</x:v>
      </x:c>
      <x:c r="E110" s="176" t="str">
        <x:v>Contrats explicites des services</x:v>
      </x:c>
      <x:c r="F110" s="176" t="str">
        <x:v>Les wrappers historiques peuvent perdre les nouveaux paramètres ; cas rencontré en V29.</x:v>
      </x:c>
      <x:c r="G110" s="176" t="str">
        <x:v>Définir API transactionnelle et tests de contrat pour chaque extension.</x:v>
      </x:c>
      <x:c r="H110" s="176" t="str">
        <x:v>Chaque wrapper relaie toutes les opérations ; aucune logique dupliquée cachée.</x:v>
      </x:c>
      <x:c r="I110" s="176" t="str">
        <x:v>build.py ; src/services.js ; src/autoshow-app.js ; src/mmd-import-app.js ; AUDIT_V28.json A38</x:v>
      </x:c>
      <x:c r="J110" s="176" t="str">
        <x:v>SAV-01</x:v>
      </x:c>
      <x:c r="K110" s="176" t="str">
        <x:v>Non certifié ; critère à exécuter</x:v>
      </x:c>
    </x:row>
    <x:row r="111" ht="110" customHeight="1">
      <x:c r="A111" s="18" t="str">
        <x:v>ARC-02</x:v>
      </x:c>
      <x:c r="B111" s="18" t="str">
        <x:v>Architecture et maintenance</x:v>
      </x:c>
      <x:c r="C111" s="18" t="str">
        <x:v>P2</x:v>
      </x:c>
      <x:c r="D111" s="18" t="str">
        <x:v>À faire</x:v>
      </x:c>
      <x:c r="E111" s="18" t="str">
        <x:v>Découpage des extensions historiques</x:v>
      </x:c>
      <x:c r="F111" s="18" t="str">
        <x:v>Les modules V7 à V28 sont empilés dans le bootstrap.</x:v>
      </x:c>
      <x:c r="G111" s="18" t="str">
        <x:v>Refactorer progressivement par domaine en gardant l'ordre et les comportements testés.</x:v>
      </x:c>
      <x:c r="H111" s="18" t="str">
        <x:v>Même build autonome et mêmes tests ; migration par petites étapes réversibles.</x:v>
      </x:c>
      <x:c r="I111" s="18" t="str">
        <x:v>build.py ; src/services.js ; src/autoshow-app.js ; src/mmd-import-app.js ; AUDIT_V28.json A38</x:v>
      </x:c>
      <x:c r="J111" s="18" t="str">
        <x:v>ARC-01</x:v>
      </x:c>
      <x:c r="K111" s="18" t="str">
        <x:v>Non certifié ; critère à exécuter</x:v>
      </x:c>
    </x:row>
    <x:row r="112" ht="110" customHeight="1">
      <x:c r="A112" s="176" t="str">
        <x:v>ARC-03</x:v>
      </x:c>
      <x:c r="B112" s="176" t="str">
        <x:v>Architecture et maintenance</x:v>
      </x:c>
      <x:c r="C112" s="176" t="str">
        <x:v>P2</x:v>
      </x:c>
      <x:c r="D112" s="176" t="str">
        <x:v>À faire</x:v>
      </x:c>
      <x:c r="E112" s="176" t="str">
        <x:v>Formatage et analyse statique</x:v>
      </x:c>
      <x:c r="F112" s="176" t="str">
        <x:v>Plusieurs sources denses sur une ligne compliquent la revue.</x:v>
      </x:c>
      <x:c r="G112" s="176" t="str">
        <x:v>Formatage déterministe, règles de lint et validation des interfaces sans changer le runtime.</x:v>
      </x:c>
      <x:c r="H112" s="176" t="str">
        <x:v>Diffs lisibles, erreurs détectées et aucune régression fonctionnelle.</x:v>
      </x:c>
      <x:c r="I112" s="176" t="str">
        <x:v>build.py ; src/services.js ; src/autoshow-app.js ; src/mmd-import-app.js ; AUDIT_V28.json A38</x:v>
      </x:c>
      <x:c r="J112" s="176" t="str">
        <x:v>ARC-02</x:v>
      </x:c>
      <x:c r="K112" s="176" t="str">
        <x:v>Non certifié ; critère à exécuter</x:v>
      </x:c>
    </x:row>
    <x:row r="113" ht="110" hidden="0" customHeight="1">
      <x:c r="A113" s="18" t="str">
        <x:v>ARC-04</x:v>
      </x:c>
      <x:c r="B113" s="18" t="str">
        <x:v>Architecture et maintenance</x:v>
      </x:c>
      <x:c r="C113" s="18" t="str">
        <x:v>P1</x:v>
      </x:c>
      <x:c r="D113" s="18" t="str">
        <x:v>Partiel</x:v>
      </x:c>
      <x:c r="E113" s="18" t="str">
        <x:v>Durées et identifiants documentés</x:v>
      </x:c>
      <x:c r="F113" s="18" t="str">
        <x:v>Divers formats partagent temps audio, IDs médias et versions de schéma.</x:v>
      </x:c>
      <x:c r="G113" s="18" t="str">
        <x:v>Le contrat du Director documente secondes audio, offsets, schémas et références médias. V36 contrôle les versions de bibliothèque reconnues 2–5 et le conteneur .pulsebundle version 1, avec refus explicite des versions inconnues avant toute écriture. Les autres formats restent à harmoniser.</x:v>
      </x:c>
      <x:c r="H113" s="18" t="str">
        <x:v>Chaque import refuse un format inconnu avec message précis et sans écriture.</x:v>
      </x:c>
      <x:c r="I113" s="18" t="str">
        <x:v>https://github.com/darknigthmare/Diva-Pulse/blob/feat/v30-director-workflow/docs/V30_MONTAGE.md ; V36 : src/bundle-core.js ; src/enhancements.js ; tests/archive-integrity.test.cjs ; tests/v36_archive_browser.py ; qa/v36/archive/results.json ; docs/V36_ARCHIVES_SCENE_CALME.md</x:v>
      </x:c>
      <x:c r="J113" s="18" t="str">
        <x:v>SAV-08</x:v>
      </x:c>
      <x:c r="K113" s="18" t="str">
        <x:v>Versions de bibliothèque 2–5 et conteneur .pulsebundle version 1 vérifiés. L’harmonisation et le refus des formats inconnus dans tous les autres imports restent ouverts.</x:v>
      </x:c>
    </x:row>
    <x:row r="114" ht="110" customHeight="1">
      <x:c r="A114" s="176" t="str">
        <x:v>ARC-05</x:v>
      </x:c>
      <x:c r="B114" s="176" t="str">
        <x:v>Architecture et maintenance</x:v>
      </x:c>
      <x:c r="C114" s="176" t="str">
        <x:v>P2</x:v>
      </x:c>
      <x:c r="D114" s="176" t="str">
        <x:v>Fait</x:v>
      </x:c>
      <x:c r="E114" s="176" t="str">
        <x:v>Séparation des opérations de montage</x:v>
      </x:c>
      <x:c r="F114" s="176" t="str">
        <x:v>Le montage était principalement intégré dans les gestionnaires UI.</x:v>
      </x:c>
      <x:c r="G114" s="176" t="str">
        <x:v>Module director-edit.js pur, immuable et testé séparément.</x:v>
      </x:c>
      <x:c r="H114" s="176" t="str">
        <x:v>Helpers sans DOM/GPU/stockage ; erreurs n'altérant pas le document source.</x:v>
      </x:c>
      <x:c r="I114" s="176" t="str">
        <x:v>build.py ; src/services.js ; src/autoshow-app.js ; src/mmd-import-app.js ; AUDIT_V28.json A38</x:v>
      </x:c>
      <x:c r="J114" s="176" t="str">
        <x:v>DIR-03</x:v>
      </x:c>
      <x:c r="K114" s="176" t="str">
        <x:v>Code de main 1552fd8 conservé et tests de régression réexécutés sur la branche V30.</x:v>
      </x:c>
    </x:row>
    <x:row r="115" ht="110" customHeight="1">
      <x:c r="A115" s="18" t="str">
        <x:v>DIR-15</x:v>
      </x:c>
      <x:c r="B115" s="18" t="str">
        <x:v>Director</x:v>
      </x:c>
      <x:c r="C115" s="18" t="str">
        <x:v>P1</x:v>
      </x:c>
      <x:c r="D115" s="18" t="str">
        <x:v>Fait</x:v>
      </x:c>
      <x:c r="E115" s="18" t="str">
        <x:v>Reprise sans sélection ni redo périmés</x:v>
      </x:c>
      <x:c r="F115" s="18" t="str">
        <x:v>Point ajouté pendant la reprise V30 depuis main 1552fd8.</x:v>
      </x:c>
      <x:c r="G115" s="18" t="str">
        <x:v>Effacer la sélection et redo lorsque le brouillon récupéré remplace le document courant.</x:v>
      </x:c>
      <x:c r="H115" s="18" t="str">
        <x:v>Récupérer après sélection de l'ancien document ; sélection vide et Rétablir désactivé.</x:v>
      </x:c>
      <x:c r="I115" s="18" t="str">
        <x:v>https://github.com/darknigthmare/Diva-Pulse/blob/feat/v30-director-workflow/tests/v30_browser_test.py</x:v>
      </x:c>
      <x:c r="J115" s="18" t="str">
        <x:v>—</x:v>
      </x:c>
      <x:c r="K115" s="18" t="str">
        <x:v>Implémenté dans la branche de la PR #1 ; non fusionné. Portée détaillée dans Tests V30.</x:v>
      </x:c>
    </x:row>
    <x:row r="116" ht="110" customHeight="1">
      <x:c r="A116" s="176" t="str">
        <x:v>DIR-16</x:v>
      </x:c>
      <x:c r="B116" s="176" t="str">
        <x:v>Director</x:v>
      </x:c>
      <x:c r="C116" s="176" t="str">
        <x:v>P1</x:v>
      </x:c>
      <x:c r="D116" s="176" t="str">
        <x:v>Fait</x:v>
      </x:c>
      <x:c r="E116" s="176" t="str">
        <x:v>Refus des formats Director inconnus</x:v>
      </x:c>
      <x:c r="F116" s="176" t="str">
        <x:v>Point ajouté pendant la reprise V30 depuis main 1552fd8.</x:v>
      </x:c>
      <x:c r="G116" s="176" t="str">
        <x:v>Valider format, version 19, structure et médias avant d'ouvrir/importer le document.</x:v>
      </x:c>
      <x:c r="H116" s="176" t="str">
        <x:v>Version 999 ou référence média absente : message lisible, aucune modification.</x:v>
      </x:c>
      <x:c r="I116" s="176" t="str">
        <x:v>https://github.com/darknigthmare/Diva-Pulse/blob/feat/v30-director-workflow/src/director-workflow.js</x:v>
      </x:c>
      <x:c r="J116" s="176" t="str">
        <x:v>—</x:v>
      </x:c>
      <x:c r="K116" s="176" t="str">
        <x:v>Implémenté dans la branche de la PR #1 ; non fusionné. Portée détaillée dans Tests V30.</x:v>
      </x:c>
    </x:row>
    <x:row r="117" ht="110" customHeight="1">
      <x:c r="A117" s="18" t="str">
        <x:v>SAV-12</x:v>
      </x:c>
      <x:c r="B117" s="18" t="str">
        <x:v>Sauvegarde et intégrité</x:v>
      </x:c>
      <x:c r="C117" s="18" t="str">
        <x:v>P0</x:v>
      </x:c>
      <x:c r="D117" s="18" t="str">
        <x:v>Fait</x:v>
      </x:c>
      <x:c r="E117" s="18" t="str">
        <x:v>Annulation jusqu'à l'état initial</x:v>
      </x:c>
      <x:c r="F117" s="18" t="str">
        <x:v>Point ajouté pendant la reprise V30 depuis main 1552fd8.</x:v>
      </x:c>
      <x:c r="G117" s="18" t="str">
        <x:v>Remplacer également le brouillon sauvegardé lors d'un retour intégral à l'état initial.</x:v>
      </x:c>
      <x:c r="H117" s="18" t="str">
        <x:v>Annuler l'alignement initial puis relire le brouillon ; aucun ancien déplacement récupérable.</x:v>
      </x:c>
      <x:c r="I117" s="18" t="str">
        <x:v>https://github.com/darknigthmare/Diva-Pulse/blob/feat/v30-director-workflow/src/director-app.js</x:v>
      </x:c>
      <x:c r="J117" s="18" t="str">
        <x:v>—</x:v>
      </x:c>
      <x:c r="K117" s="18" t="str">
        <x:v>Implémenté dans la branche de la PR #1 ; non fusionné. Portée détaillée dans Tests V30.</x:v>
      </x:c>
    </x:row>
    <x:row r="118" ht="110" customHeight="1">
      <x:c r="A118" s="176" t="str">
        <x:v>PUB-10</x:v>
      </x:c>
      <x:c r="B118" s="176" t="str">
        <x:v>Publication et livraison</x:v>
      </x:c>
      <x:c r="C118" s="176" t="str">
        <x:v>P0</x:v>
      </x:c>
      <x:c r="D118" s="176" t="str">
        <x:v>Fait</x:v>
      </x:c>
      <x:c r="E118" s="176" t="str">
        <x:v>CI de PR sans écriture vers main</x:v>
      </x:c>
      <x:c r="F118" s="176" t="str">
        <x:v>Point ajouté pendant la reprise V30 depuis main 1552fd8.</x:v>
      </x:c>
      <x:c r="G118" s="176" t="str">
        <x:v>Retirer l'autopublication des workflows historiques ; CI de revue en lecture seule, sans secrets.</x:v>
      </x:c>
      <x:c r="H118" s="176" t="str">
        <x:v>Aucun git push dans le workflow final de revue ; les travaux restent dans la PR.</x:v>
      </x:c>
      <x:c r="I118" s="176" t="str">
        <x:v>https://github.com/darknigthmare/Diva-Pulse/blob/feat/v30-director-workflow/.github/workflows/quality.yml</x:v>
      </x:c>
      <x:c r="J118" s="176" t="str">
        <x:v>—</x:v>
      </x:c>
      <x:c r="K118" s="176" t="str">
        <x:v>Implémenté dans la branche de la PR #1 ; non fusionné. Portée détaillée dans Tests V30.</x:v>
      </x:c>
    </x:row>
    <x:row r="119" ht="110" customHeight="1">
      <x:c r="A119" s="18" t="str">
        <x:v>QA-09</x:v>
      </x:c>
      <x:c r="B119" s="18" t="str">
        <x:v>Tests et validation</x:v>
      </x:c>
      <x:c r="C119" s="18" t="str">
        <x:v>P1</x:v>
      </x:c>
      <x:c r="D119" s="18" t="str">
        <x:v>Fait</x:v>
      </x:c>
      <x:c r="E119" s="18" t="str">
        <x:v>Validation ciblée du montage V30</x:v>
      </x:c>
      <x:c r="F119" s="18" t="str">
        <x:v>Point ajouté pendant la reprise V30 depuis main 1552fd8.</x:v>
      </x:c>
      <x:c r="G119" s="18" t="str">
        <x:v>52 tests nouveaux et 18 contrôles UI ; preuve horodatée par empreinte du build.</x:v>
      </x:c>
      <x:c r="H119" s="18" t="str">
        <x:v>Cas BPM frontière, offsets, mesures, refus immuables, clavier, capture et schéma.</x:v>
      </x:c>
      <x:c r="I119" s="18" t="str">
        <x:v>https://github.com/darknigthmare/Diva-Pulse/blob/feat/v30-director-workflow/tests/v30.test.cjs</x:v>
      </x:c>
      <x:c r="J119" s="18" t="str">
        <x:v>—</x:v>
      </x:c>
      <x:c r="K119" s="18" t="str">
        <x:v>Implémenté dans la branche de la PR #1 ; non fusionné. Portée détaillée dans Tests V30.</x:v>
      </x:c>
    </x:row>
    <x:row r="120" ht="110" customHeight="1">
      <x:c r="A120" s="51" t="str">
        <x:v>DIR-17</x:v>
      </x:c>
      <x:c r="B120" s="51" t="str">
        <x:v>Director</x:v>
      </x:c>
      <x:c r="C120" s="51" t="str">
        <x:v>P2</x:v>
      </x:c>
      <x:c r="D120" s="51" t="str">
        <x:v>Fait</x:v>
      </x:c>
      <x:c r="E120" s="51" t="str">
        <x:v>Copie inter-danseurs de modèle identique</x:v>
      </x:c>
      <x:c r="F120" s="51" t="str">
        <x:v>Copie limitée aux pistes d'origine en V30.</x:v>
      </x:c>
      <x:c r="G120" s="51" t="str">
        <x:v>Copier vers D cible en conservant les décalages ; mémoriser le modèle à la copie ; refus des modèles différents et des débordements.</x:v>
      </x:c>
      <x:c r="H120" s="51" t="str">
        <x:v>D1 vers D3, refus d'une preuve de modèle périmée et presse-papiers inchangé.</x:v>
      </x:c>
      <x:c r="I120" s="51" t="str">
        <x:v>docs/V31_ECOUTE_MONTAGE.md ; tests/v31.test.cjs ; tests/v31_browser_test.py ; qa/v31/</x:v>
      </x:c>
      <x:c r="J120" s="51" t="str">
        <x:v>DIR-07</x:v>
      </x:c>
      <x:c r="K120" s="51" t="str">
        <x:v>V32 native validée sur GitHub Actions 40522984445, build 22bdfe014b57. Chromium/SwiftShader ; aucun matériel physique certifié.</x:v>
      </x:c>
    </x:row>
    <x:row r="121" ht="110" customHeight="1">
      <x:c r="A121" s="51" t="str">
        <x:v>DIR-18</x:v>
      </x:c>
      <x:c r="B121" s="51" t="str">
        <x:v>Director</x:v>
      </x:c>
      <x:c r="C121" s="51" t="str">
        <x:v>P2</x:v>
      </x:c>
      <x:c r="D121" s="51" t="str">
        <x:v>Fait</x:v>
      </x:c>
      <x:c r="E121" s="51" t="str">
        <x:v>Édition numérique des formations</x:v>
      </x:c>
      <x:c r="F121" s="51" t="str">
        <x:v>Formations présentes mais sans panneau d'édition dédié.</x:v>
      </x:c>
      <x:c r="G121" s="51" t="str">
        <x:v>Éditer coordonnées, visibilité et lead ; inclure les clés aux opérations de groupe.</x:v>
      </x:c>
      <x:c r="H121" s="51" t="str">
        <x:v>Reprise, annulation, export/import et sauvegarde conservant les coordonnées.</x:v>
      </x:c>
      <x:c r="I121" s="51" t="str">
        <x:v>docs/V31_ECOUTE_MONTAGE.md ; tests/v31.test.cjs ; tests/v31_browser_test.py ; qa/v31/</x:v>
      </x:c>
      <x:c r="J121" s="51" t="str">
        <x:v>DIR-12</x:v>
      </x:c>
      <x:c r="K121" s="51" t="str">
        <x:v>V32 native validée sur GitHub Actions 40522984445, build 22bdfe014b57. Chromium/SwiftShader ; aucun matériel physique certifié.</x:v>
      </x:c>
    </x:row>
    <x:row r="122" ht="110" customHeight="1">
      <x:c r="A122" s="51" t="str">
        <x:v>DIR-19</x:v>
      </x:c>
      <x:c r="B122" s="51" t="str">
        <x:v>Director</x:v>
      </x:c>
      <x:c r="C122" s="51" t="str">
        <x:v>P2</x:v>
      </x:c>
      <x:c r="D122" s="51" t="str">
        <x:v>Fait</x:v>
      </x:c>
      <x:c r="E122" s="51" t="str">
        <x:v>Fusion sûre de clips adjacents</x:v>
      </x:c>
      <x:c r="F122" s="51" t="str">
        <x:v>Scission seule dans V30.</x:v>
      </x:c>
      <x:c r="G122" s="51" t="str">
        <x:v>Fusion par danseur avec paramètres et temps source identiques ; aucun fondu intermédiaire perdu.</x:v>
      </x:c>
      <x:c r="H122" s="51" t="str">
        <x:v>Scission puis fusion réversible ; refus des trous, paramètres différents et ruptures de temps source.</x:v>
      </x:c>
      <x:c r="I122" s="51" t="str">
        <x:v>docs/V31_ECOUTE_MONTAGE.md ; tests/v31.test.cjs ; tests/v31_browser_test.py ; qa/v31/</x:v>
      </x:c>
      <x:c r="J122" s="51" t="str">
        <x:v>DIR-13</x:v>
      </x:c>
      <x:c r="K122" s="51" t="str">
        <x:v>V32 native validée sur GitHub Actions 40522984445, build 22bdfe014b57. Chromium/SwiftShader ; aucun matériel physique certifié.</x:v>
      </x:c>
    </x:row>
    <x:row r="123" ht="110" customHeight="1">
      <x:c r="A123" s="51" t="str">
        <x:v>DIR-20</x:v>
      </x:c>
      <x:c r="B123" s="51" t="str">
        <x:v>Director</x:v>
      </x:c>
      <x:c r="C123" s="51" t="str">
        <x:v>P2</x:v>
      </x:c>
      <x:c r="D123" s="51" t="str">
        <x:v>Fait</x:v>
      </x:c>
      <x:c r="E123" s="51" t="str">
        <x:v>Scission synchronisée sans boucle en temps</x:v>
      </x:c>
      <x:c r="F123" s="51" t="str">
        <x:v>V30 refusait tous les clips avec BPM source.</x:v>
      </x:c>
      <x:c r="G123" s="51" t="str">
        <x:v>Intégrer la carte de tempo pour le temps source droit ; garder le schéma 19.</x:v>
      </x:c>
      <x:c r="H123" s="51" t="str">
        <x:v>Même échantillon VMD avant/après coupe à tempo variable ; loopBeats actif explicitement refusé.</x:v>
      </x:c>
      <x:c r="I123" s="51" t="str">
        <x:v>docs/V31_ECOUTE_MONTAGE.md ; tests/v31.test.cjs ; tests/v31_browser_test.py ; qa/v31/</x:v>
      </x:c>
      <x:c r="J123" s="51" t="str">
        <x:v>ANI-05</x:v>
      </x:c>
      <x:c r="K123" s="51" t="str">
        <x:v>V32 native validée sur GitHub Actions 40522984445, build 22bdfe014b57. Chromium/SwiftShader ; aucun matériel physique certifié.</x:v>
      </x:c>
    </x:row>
    <x:row r="124" ht="110" customHeight="1">
      <x:c r="A124" s="51" t="str">
        <x:v>QA-10</x:v>
      </x:c>
      <x:c r="B124" s="51" t="str">
        <x:v>QA</x:v>
      </x:c>
      <x:c r="C124" s="51" t="str">
        <x:v>P1</x:v>
      </x:c>
      <x:c r="D124" s="51" t="str">
        <x:v>Fait</x:v>
      </x:c>
      <x:c r="E124" s="51" t="str">
        <x:v>Parcours V31 : audio et groupes</x:v>
      </x:c>
      <x:c r="F124" s="51" t="str">
        <x:v>32/32 nouveaux contrôles navigateur et 41/41 contrôles de régression relancés sur le même build V31.</x:v>
      </x:c>
      <x:c r="G124" s="51" t="str">
        <x:v>Conserver les preuves liées au SHA du build et séparer document injecté, persistance native et qualification matérielle.</x:v>
      </x:c>
      <x:c r="H124" s="51" t="str">
        <x:v>909 tests logiques, 32 parcours V31, 18 régression montage, 23 régression Director et 10 lanceur réussis. Aucun de ces tests UI locaux ne prouve IndexedDB natif.</x:v>
      </x:c>
      <x:c r="I124" s="51" t="str">
        <x:v>src/director-app.js ; src/director-workflow.js ; tests/v31.test.cjs ; tests/v31_browser_test.py ; qa/v31/</x:v>
      </x:c>
      <x:c r="J124" s="51" t="str">
        <x:v>DIR-10</x:v>
      </x:c>
      <x:c r="K124" s="51" t="str">
        <x:v>V32 native validée sur GitHub Actions 40522984445, build 22bdfe014b57. Chromium/SwiftShader ; aucun matériel physique certifié.</x:v>
      </x:c>
    </x:row>
    <x:row r="125" ht="110" customHeight="1">
      <x:c r="A125" s="51" t="str">
        <x:v>QA-11</x:v>
      </x:c>
      <x:c r="B125" s="51" t="str">
        <x:v>QA</x:v>
      </x:c>
      <x:c r="C125" s="51" t="str">
        <x:v>P1</x:v>
      </x:c>
      <x:c r="D125" s="51" t="str">
        <x:v>Fait</x:v>
      </x:c>
      <x:c r="E125" s="51" t="str">
        <x:v>Persistance native de V31 intégrée en V32</x:v>
      </x:c>
      <x:c r="F125" s="51" t="str">
        <x:v>Les limites de navigation du conteneur sont distinctes du banc GitHub autorisé ; nouvelles preuves natives du même build disponibles.</x:v>
      </x:c>
      <x:c r="G125" s="51" t="str">
        <x:v>Audio/édition V31, boucles V32 et régressions rejoués en HTTP/IndexedDB ; fermeture/réouverture du profil et rechargement hors ligne réussis.</x:v>
      </x:c>
      <x:c r="H125" s="51" t="str">
        <x:v>Rapports natifs récents du même build et contrôle CI strict ; aucune réutilisation des preuves V30.</x:v>
      </x:c>
      <x:c r="I125" s="51" t="str">
        <x:v>tests/v31_browser_test.py ; tests/v29_persistence_test.py ; qa/v32/</x:v>
      </x:c>
      <x:c r="J125" s="51" t="str">
        <x:v>SAV-03 ; QA-01</x:v>
      </x:c>
      <x:c r="K125" s="51" t="str">
        <x:v>V32 native validée sur GitHub Actions 40522984445, build 22bdfe014b57. Chromium/SwiftShader ; aucun matériel physique certifié.</x:v>
      </x:c>
    </x:row>
    <x:row r="126" ht="110" customHeight="1">
      <x:c r="A126" s="51" t="str">
        <x:v>PUB-11</x:v>
      </x:c>
      <x:c r="B126" s="51" t="str">
        <x:v>Publication</x:v>
      </x:c>
      <x:c r="C126" s="51" t="str">
        <x:v>P0</x:v>
      </x:c>
      <x:c r="D126" s="51" t="str">
        <x:v>Fait</x:v>
      </x:c>
      <x:c r="E126" s="51" t="str">
        <x:v>Publier V31 et V32 dans la PR #1</x:v>
      </x:c>
      <x:c r="F126" s="51" t="str">
        <x:v>Sources V31/V32 publiées au commit f4fa7d6 ; Excel et suivi V32 réunis dans la même PR, sans fusion.</x:v>
      </x:c>
      <x:c r="G126" s="51" t="str">
        <x:v>Intégrer sources, build, Excel V32, JSON, CSV et preuves natives dans feat/v30-director-workflow. Conserver main et ne pas fusionner.</x:v>
      </x:c>
      <x:c r="H126" s="51" t="str">
        <x:v>Commit distant et fichiers relus ; build, Excel et preuves CI liés à ce commit.</x:v>
      </x:c>
      <x:c r="I126" s="51" t="str">
        <x:v>https://github.com/darknigthmare/Diva-Pulse/pull/1</x:v>
      </x:c>
      <x:c r="J126" s="51" t="str">
        <x:v>QA-10 ; QA-11</x:v>
      </x:c>
      <x:c r="K126" s="51" t="str">
        <x:v>V32 native validée sur GitHub Actions 40522984445, build 22bdfe014b57. Chromium/SwiftShader ; aucun matériel physique certifié.</x:v>
      </x:c>
    </x:row>
    <x:row r="127" ht="110" customHeight="1">
      <x:c r="A127" s="18" t="str">
        <x:v>DIR-21</x:v>
      </x:c>
      <x:c r="B127" s="18" t="str">
        <x:v>Director</x:v>
      </x:c>
      <x:c r="C127" s="18" t="str">
        <x:v>P1</x:v>
      </x:c>
      <x:c r="D127" s="18" t="str">
        <x:v>Fait</x:v>
      </x:c>
      <x:c r="E127" s="18" t="str">
        <x:v>Phase de boucle et sauvegarde Director V20</x:v>
      </x:c>
      <x:c r="F127" s="18" t="str">
        <x:v>Une coupe changeait l'origine d'une boucle source ; V19 ne savait pas exprimer une phase distincte.</x:v>
      </x:c>
      <x:c r="G127" s="18" t="str">
        <x:v>Ajouter loopPhaseBeats, validation stricte et schéma 20 si nécessaire ; maintenir l'origine VMD, fusion modulo et export/import. Les anciens projets sans phase gardent V19.</x:v>
      </x:c>
      <x:c r="H127" s="18" t="str">
        <x:v>Temps source identique pour 9 instants de coupe et séquences multi-coupes au tempo variable ; version incompatible explicitement refusée.</x:v>
      </x:c>
      <x:c r="I127" s="18" t="str">
        <x:v>src/motion-sync.js ; src/director-core.js ; src/director-workflow.js ; tests/v32.test.cjs</x:v>
      </x:c>
      <x:c r="J127" s="18" t="str">
        <x:v>DIR-13 ; ANI-05</x:v>
      </x:c>
      <x:c r="K127" s="18" t="str">
        <x:v>Contrats logiques et interface vérifiés ; ne garantit pas que la motion constitue artistiquement un cycle parfait.</x:v>
      </x:c>
    </x:row>
    <x:row r="128" ht="110" customHeight="1">
      <x:c r="A128" s="18" t="str">
        <x:v>SAV-13</x:v>
      </x:c>
      <x:c r="B128" s="18" t="str">
        <x:v>Sauvegarde et intégrité</x:v>
      </x:c>
      <x:c r="C128" s="18" t="str">
        <x:v>P1</x:v>
      </x:c>
      <x:c r="D128" s="18" t="str">
        <x:v>Fait</x:v>
      </x:c>
      <x:c r="E128" s="18" t="str">
        <x:v>Enregistrement Studio et brouillon indivisibles</x:v>
      </x:c>
      <x:c r="F128" s="18" t="str">
        <x:v>La copie de partition et la suppression de son brouillon se faisaient en deux étapes ; l'état mémoire était promu trop tôt.</x:v>
      </x:c>
      <x:c r="G128" s="18" t="str">
        <x:v>Construire le candidat sans muter la source ; enregistrer le morceau et supprimer le brouillon dans le même commit. Garder l'édition sale et récupérable après échec.</x:v>
      </x:c>
      <x:c r="H128" s="18" t="str">
        <x:v>Échec réel ou simulé : source inchangée, brouillon présent, édition sale. Nouvelle tentative : une copie correcte et aucun brouillon obsolète.</x:v>
      </x:c>
      <x:c r="I128" s="18" t="str">
        <x:v>src/editor.js ; src/live-app.js ; tests/v32_browser_test.py ; tests/v32_transactions_test.py</x:v>
      </x:c>
      <x:c r="J128" s="18" t="str">
        <x:v>SAV-02 ; QA-04</x:v>
      </x:c>
      <x:c r="K128" s="18" t="str">
        <x:v>V32 native validée sur GitHub Actions 40522984445, build 22bdfe014b57. Chromium/SwiftShader ; aucun matériel physique certifié. Échec/réessai du Studio confirmé.</x:v>
      </x:c>
    </x:row>
    <x:row r="129" ht="110" customHeight="1">
      <x:c r="A129" s="18" t="str">
        <x:v>GAME-09</x:v>
      </x:c>
      <x:c r="B129" s="18" t="str">
        <x:v>Gameplay et règles</x:v>
      </x:c>
      <x:c r="C129" s="18" t="str">
        <x:v>P1</x:v>
      </x:c>
      <x:c r="D129" s="18" t="str">
        <x:v>Fait</x:v>
      </x:c>
      <x:c r="E129" s="18" t="str">
        <x:v>Reprise audio périmée après sortie</x:v>
      </x:c>
      <x:c r="F129" s="18" t="str">
        <x:v>V32 : une promesse audio.init retardée pouvait reprendre la musique après retour à la bibliothèque.</x:v>
      </x:c>
      <x:c r="G129" s="18" t="str">
        <x:v>Revalider la vue, l'état pause, la session de partition et la fin de partie après l'attente audio. Éviter les reprises concurrentes.</x:v>
      </x:c>
      <x:c r="H129" s="18" t="str">
        <x:v>Suspendre audio.init, quitter la partie puis résoudre : aucun redémarrage de source ni changement de vue.</x:v>
      </x:c>
      <x:c r="I129" s="18" t="str">
        <x:v>src/app.js ; tests/v33_browser_test.py</x:v>
      </x:c>
      <x:c r="J129" s="18" t="str">
        <x:v>GAME-04</x:v>
      </x:c>
      <x:c r="K129" s="18" t="str">
        <x:v>V33 : tests ciblés en Chromium/SwiftShader, document injecté et Web Audio réel. Lire qa/v33/feedback/results.json pour le mode ; aucune qualification matérielle.</x:v>
      </x:c>
    </x:row>
    <x:row r="130" ht="110" customHeight="1">
      <x:c r="A130" s="18" t="str">
        <x:v>GAME-10</x:v>
      </x:c>
      <x:c r="B130" s="18" t="str">
        <x:v>Gameplay et règles</x:v>
      </x:c>
      <x:c r="C130" s="18" t="str">
        <x:v>P1</x:v>
      </x:c>
      <x:c r="D130" s="18" t="str">
        <x:v>Fait</x:v>
      </x:c>
      <x:c r="E130" s="18" t="str">
        <x:v>Perte de capture tactile et sources multiples</x:v>
      </x:c>
      <x:c r="F130" s="18" t="str">
        <x:v>Pas de gestion de lostpointercapture sur les touches ; des entrées en pause pouvaient rester armées.</x:v>
      </x:c>
      <x:c r="G130" s="18" t="str">
        <x:v>Libération déléguée de la seule source tactile concernée ; aucune acquisition pendant pause/autoplay/replay. Les autres périphériques conservent leur maintien.</x:v>
      </x:c>
      <x:c r="H130" s="18" t="str">
        <x:v>Perdre la capture tactile pendant un maintien clavier simultané : le clavier reste actif ; dernier relâchement termine le maintien.</x:v>
      </x:c>
      <x:c r="I130" s="18" t="str">
        <x:v>src/feedback33.js ; tests/v33_browser_test.py</x:v>
      </x:c>
      <x:c r="J130" s="18" t="str">
        <x:v>GAME-02 ; GAME-07</x:v>
      </x:c>
      <x:c r="K130" s="18" t="str">
        <x:v>V33 : tests ciblés en Chromium/SwiftShader, document injecté et Web Audio réel. Lire qa/v33/feedback/results.json pour le mode ; aucune qualification matérielle. Test de PointerEvent, pas d'écran tactile physique.</x:v>
      </x:c>
    </x:row>
    <x:row r="131" ht="110" customHeight="1">
      <x:c r="A131" s="18" t="str">
        <x:v>GAME-11</x:v>
      </x:c>
      <x:c r="B131" s="18" t="str">
        <x:v>Gameplay et règles</x:v>
      </x:c>
      <x:c r="C131" s="18" t="str">
        <x:v>P1</x:v>
      </x:c>
      <x:c r="D131" s="18" t="str">
        <x:v>Fait</x:v>
      </x:c>
      <x:c r="E131" s="18" t="str">
        <x:v>Entrées invalides sans corruption de score</x:v>
      </x:c>
      <x:c r="F131" s="18" t="str">
        <x:v>Un temps NaN lors d'un relâchement pouvait contaminer l'accumulation du bonus de maintien.</x:v>
      </x:c>
      <x:c r="G131" s="18" t="str">
        <x:v>Refuser les pistes non entières/hors 0–5 et temps non finis avant toute modification du moteur.</x:v>
      </x:c>
      <x:c r="H131" s="18" t="str">
        <x:v>Les appels invalides laissent résultat, événements et entrées inchangés ; le maintien valide poursuit son bonus.</x:v>
      </x:c>
      <x:c r="I131" s="18" t="str">
        <x:v>src/core.js ; tests/v33.test.cjs</x:v>
      </x:c>
      <x:c r="J131" s="18" t="str">
        <x:v>GAME-02</x:v>
      </x:c>
      <x:c r="K131" s="18" t="str">
        <x:v>Les règles, fenêtres de jugement et signatures de records ne sont pas modifiées.</x:v>
      </x:c>
    </x:row>
    <x:row r="132" ht="110" customHeight="1">
      <x:c r="A132" s="18" t="str">
        <x:v>FX-01</x:v>
      </x:c>
      <x:c r="B132" s="18" t="str">
        <x:v>VFX et lisibilité</x:v>
      </x:c>
      <x:c r="C132" s="18" t="str">
        <x:v>P1</x:v>
      </x:c>
      <x:c r="D132" s="18" t="str">
        <x:v>Fait</x:v>
      </x:c>
      <x:c r="E132" s="18" t="str">
        <x:v>Impacts différenciés et bornés</x:v>
      </x:c>
      <x:c r="F132" s="18" t="str">
        <x:v>L'effet de réussite était essentiellement un anneau commun, sans budget de quantité.</x:v>
      </x:c>
      <x:c r="G132" s="18" t="str">
        <x:v>Halo et rayons COOL, anneau FINE, repère d'erreur discret, indication directionnelle slide ; maximum 48 impacts temporaires.</x:v>
      </x:c>
      <x:c r="H132" s="18" t="str">
        <x:v>10 000 événements ne dépassent jamais 48 effets ; expiration déterministe ; aucun changement de résultat.</x:v>
      </x:c>
      <x:c r="I132" s="18" t="str">
        <x:v>src/feedback33.js ; tests/v33.test.cjs ; tests/v33_browser_test.py ; qa/v33/feedback/results.json</x:v>
      </x:c>
      <x:c r="J132" s="18" t="str">
        <x:v>PER-01 ; UX-03</x:v>
      </x:c>
      <x:c r="K132" s="18" t="str">
        <x:v>V33 : tests ciblés en Chromium/SwiftShader, document injecté et Web Audio réel. Lire qa/v33/feedback/results.json pour le mode ; aucune qualification matérielle. Aucun flash plein écran ; l'ancienne option Réduire les éclats reste prioritaire.</x:v>
      </x:c>
    </x:row>
    <x:row r="133" ht="110" customHeight="1">
      <x:c r="A133" s="18" t="str">
        <x:v>FX-02</x:v>
      </x:c>
      <x:c r="B133" s="18" t="str">
        <x:v>VFX et lisibilité</x:v>
      </x:c>
      <x:c r="C133" s="18" t="str">
        <x:v>P2</x:v>
      </x:c>
      <x:c r="D133" s="18" t="str">
        <x:v>Fait</x:v>
      </x:c>
      <x:c r="E133" s="18" t="str">
        <x:v>Progression visuelle des maintiens</x:v>
      </x:c>
      <x:c r="F133" s="18" t="str">
        <x:v>Le bonus de maintien n'avait pas de jauge locale liée à sa durée active.</x:v>
      </x:c>
      <x:c r="G133" s="18" t="str">
        <x:v>Arc de progression autour de la cible, calculé à partir du maintien actif et de l'horloge compensée.</x:v>
      </x:c>
      <x:c r="H133" s="18" t="str">
        <x:v>Progression bornée entre 0 et 1 ; disparition à la libération ; score inchangé.</x:v>
      </x:c>
      <x:c r="I133" s="18" t="str">
        <x:v>src/feedback33.js ; tests/v33.test.cjs ; tests/v33_browser_test.py ; qa/v33/feedback/results.json</x:v>
      </x:c>
      <x:c r="J133" s="18" t="str">
        <x:v>GAME-02</x:v>
      </x:c>
      <x:c r="K133" s="18" t="str">
        <x:v>Jauge de bonus existant, pas une nouvelle règle de note longue ; ajustement artistique sur corpus dense encore ouvert.</x:v>
      </x:c>
    </x:row>
    <x:row r="134" ht="110" customHeight="1">
      <x:c r="A134" s="18" t="str">
        <x:v>SFX-01</x:v>
      </x:c>
      <x:c r="B134" s="18" t="str">
        <x:v>SFX et mixage</x:v>
      </x:c>
      <x:c r="C134" s="18" t="str">
        <x:v>P1</x:v>
      </x:c>
      <x:c r="D134" s="18" t="str">
        <x:v>Fait</x:v>
      </x:c>
      <x:c r="E134" s="18" t="str">
        <x:v>Trois signatures sonores procédurales</x:v>
      </x:c>
      <x:c r="F134" s="18" t="str">
        <x:v>Un son sinusoïdal identique servait à toutes les frappes.</x:v>
      </x:c>
      <x:c r="G134" s="18" t="str">
        <x:v>Banque originale Pulse/Arcade/Soft, fréquences par piste, nuances par jugement et slide, attaque/relâchement adoucis ; buffers mis en cache.</x:v>
      </x:c>
      <x:c r="H134" s="18" t="str">
        <x:v>18 combinaisons style/jugement : PCM déterministe, fini, borné, début/fin à zéro ; rendu OfflineAudioContext valide.</x:v>
      </x:c>
      <x:c r="I134" s="18" t="str">
        <x:v>src/feedback33.js ; tests/v33.test.cjs ; tests/v33_browser_test.py ; qa/v33/feedback/results.json</x:v>
      </x:c>
      <x:c r="J134" s="18" t="str">
        <x:v>—</x:v>
      </x:c>
      <x:c r="K134" s="18" t="str">
        <x:v>Aucun échantillon musical tiers. Qualité d'écoute et latence acoustique restent à vérifier sur appareils réels.</x:v>
      </x:c>
    </x:row>
    <x:row r="135" ht="110" customHeight="1">
      <x:c r="A135" s="18" t="str">
        <x:v>SFX-02</x:v>
      </x:c>
      <x:c r="B135" s="18" t="str">
        <x:v>SFX et mixage</x:v>
      </x:c>
      <x:c r="C135" s="18" t="str">
        <x:v>P1</x:v>
      </x:c>
      <x:c r="D135" s="18" t="str">
        <x:v>Fait</x:v>
      </x:c>
      <x:c r="E135" s="18" t="str">
        <x:v>Mute cohérent et polyphonie plafonnée</x:v>
      </x:c>
      <x:c r="F135" s="18" t="str">
        <x:v>L'autoplay ignorait l'option de sons de frappe ; aucune limite dédiée aux nouvelles voix.</x:v>
      </x:c>
      <x:c r="G135" s="18" t="str">
        <x:v>Sons déclenchés par les jugements pour jeu/autoplay/replay ; respect du mute et volume ; 12 voix maximum ; coupure en pause/sortie ; erreurs sonores opt-in.</x:v>
      </x:c>
      <x:c r="H135" s="18" t="str">
        <x:v>Pas de doublon entrée/jugement ; aucun son désactivé ; 1 000 impacts restent sous le plafond ; les nœuds sont déconnectés.</x:v>
      </x:c>
      <x:c r="I135" s="18" t="str">
        <x:v>src/feedback33.js ; tests/v33.test.cjs ; tests/v33_browser_test.py ; qa/v33/feedback/results.json</x:v>
      </x:c>
      <x:c r="J135" s="18" t="str">
        <x:v>SFX-01</x:v>
      </x:c>
      <x:c r="K135" s="18" t="str">
        <x:v>Le plafond concerne la nouvelle banque de feedback, pas tous les anciens sons du studio/métronome.</x:v>
      </x:c>
    </x:row>
    <x:row r="136" ht="110" customHeight="1">
      <x:c r="A136" s="18" t="str">
        <x:v>UX-07</x:v>
      </x:c>
      <x:c r="B136" s="18" t="str">
        <x:v>Interface et accessibilité</x:v>
      </x:c>
      <x:c r="C136" s="18" t="str">
        <x:v>P1</x:v>
      </x:c>
      <x:c r="D136" s="18" t="str">
        <x:v>Fait</x:v>
      </x:c>
      <x:c r="E136" s="18" t="str">
        <x:v>Préférence de mouvement et réglages de feedback</x:v>
      </x:c>
      <x:c r="F136" s="18" t="str">
        <x:v>La préférence système n'était pas prise en compte par les nouveaux effets ; réglage d'intensité absent.</x:v>
      </x:c>
      <x:c r="G136" s="18" t="str">
        <x:v>Intensité 0–100 %, style SFX, erreurs sonores optionnelles. Réduire les mouvements et préférence système : halos fixes sans particules, scène calmée.</x:v>
      </x:c>
      <x:c r="H136" s="18" t="str">
        <x:v>Changement système et réglage utilisateur testés ; échec de sauvegarde ne modifie ni option enregistrée ni contrôle ; panneau à 390 px.</x:v>
      </x:c>
      <x:c r="I136" s="18" t="str">
        <x:v>src/feedback33.js ; tests/v33.test.cjs ; tests/v33_browser_test.py ; qa/v33/feedback/results.json</x:v>
      </x:c>
      <x:c r="J136" s="18" t="str">
        <x:v>UX-05</x:v>
      </x:c>
      <x:c r="K136" s="18" t="str">
        <x:v>Ne valide pas toutes les animations des menus, lecteurs d'écran ou sensibilités individuelles.</x:v>
      </x:c>
    </x:row>
    <x:row r="137" ht="110" customHeight="1">
      <x:c r="A137" s="18" t="str">
        <x:v>QA-12</x:v>
      </x:c>
      <x:c r="B137" s="18" t="str">
        <x:v>Tests et validation</x:v>
      </x:c>
      <x:c r="C137" s="18" t="str">
        <x:v>P1</x:v>
      </x:c>
      <x:c r="D137" s="18" t="str">
        <x:v>Fait</x:v>
      </x:c>
      <x:c r="E137" s="18" t="str">
        <x:v>Contrats V33 gameplay, audio et VFX</x:v>
      </x:c>
      <x:c r="F137" s="18" t="str">
        <x:v>Pas de tests spécifiques au nouveau feedback ni à la reprise retardée.</x:v>
      </x:c>
      <x:c r="G137" s="18" t="str">
        <x:v>48 nouveaux tests logiques et 22 contrôles navigateur ciblés ; reproduction de la reprise après sortie ; limites de charge et rendu audio vérifiés.</x:v>
      </x:c>
      <x:c r="H137" s="18" t="str">
        <x:v>Rapport avec version, empreinte du build, mode de navigateur et zéro erreur ; CI ne réutilise pas les anciens rapports.</x:v>
      </x:c>
      <x:c r="I137" s="18" t="str">
        <x:v>src/feedback33.js ; tests/v33.test.cjs ; tests/v33_browser_test.py ; qa/v33/feedback/results.json</x:v>
      </x:c>
      <x:c r="J137" s="18" t="str">
        <x:v>GAME-09 ; FX-01 ; SFX-02</x:v>
      </x:c>
      <x:c r="K137" s="18" t="str">
        <x:v>V33 : tests ciblés en Chromium/SwiftShader, document injecté et Web Audio réel. Lire qa/v33/feedback/results.json pour le mode ; aucune qualification matérielle.</x:v>
      </x:c>
    </x:row>
    <x:row r="138" ht="120" customHeight="1">
      <x:c r="A138" s="250" t="str">
        <x:v>LIVE34-01</x:v>
      </x:c>
      <x:c r="B138" s="250" t="str">
        <x:v>Gameplay et règles</x:v>
      </x:c>
      <x:c r="C138" s="250" t="str">
        <x:v>P1</x:v>
      </x:c>
      <x:c r="D138" s="250" t="str">
        <x:v>Fait</x:v>
      </x:c>
      <x:c r="E138" s="250" t="str">
        <x:v>Interruption audio et retour explicite</x:v>
      </x:c>
      <x:c r="F138" s="250" t="str">
        <x:v>Un contexte suspendu pouvait laisser le jeu actif ; l’écoute Director ne suivait pas toujours la visibilité.</x:v>
      </x:c>
      <x:c r="G138" s="250" t="str">
        <x:v>Mise en pause, entrées bloquées, absence de reprise automatique ; nouvelle vérification après préparation audio ; contexte fermé recréé au clic de reprise.</x:v>
      </x:c>
      <x:c r="H138" s="250" t="str">
        <x:v>Suspendre/reprendre/fermer le vrai AudioContext ; aucun score changé par un appui suspendu ; reprise explicite et Director masqué puis visible.</x:v>
      </x:c>
      <x:c r="I138" s="250" t="str">
        <x:v>src/live-feedback34.js ; src/services.js ; src/app.js ; src/director-app.js ; tests/v34_browser_test.py</x:v>
      </x:c>
      <x:c r="J138" s="250" t="str">
        <x:v>GAME-04</x:v>
      </x:c>
      <x:c r="K138" s="250" t="str">
        <x:v>Événements du navigateur contrôlés ; pas de certification interruption téléphonique sur iPhone.</x:v>
      </x:c>
    </x:row>
    <x:row r="139" ht="120" customHeight="1">
      <x:c r="A139" s="250" t="str">
        <x:v>LIVE34-02</x:v>
      </x:c>
      <x:c r="B139" s="250" t="str">
        <x:v>Interface et accessibilité</x:v>
      </x:c>
      <x:c r="C139" s="250" t="str">
        <x:v>P2</x:v>
      </x:c>
      <x:c r="D139" s="250" t="str">
        <x:v>Fait</x:v>
      </x:c>
      <x:c r="E139" s="250" t="str">
        <x:v>Jauges HOLD indépendantes des éclats</x:v>
      </x:c>
      <x:c r="F139" s="250" t="str">
        <x:v>Les arcs de maintien V33 étaient masqués lorsque les effets décoratifs étaient coupés.</x:v>
      </x:c>
      <x:c r="G139" s="250" t="str">
        <x:v>Jauge par piste active, symbole et pourcentage, mises à jour plafonnées, préférence persistante et absence d’animation CSS.</x:v>
      </x:c>
      <x:c r="H139" s="250" t="str">
        <x:v>Deux maintiens visibles avec VFX à zéro ; relâcher une piste conserve l’autre ; score/replay inchangés ; viewport 390 px sans débordement.</x:v>
      </x:c>
      <x:c r="I139" s="250" t="str">
        <x:v>src/live-feedback34.js ; src/style.css ; tests/v34.test.cjs ; tests/v34_browser_test.py</x:v>
      </x:c>
      <x:c r="J139" s="250" t="str">
        <x:v>UX-03</x:v>
      </x:c>
      <x:c r="K139" s="250" t="str">
        <x:v>Ne remplace pas un audit lecteur d’écran ni une revue de toutes les scènes.</x:v>
      </x:c>
    </x:row>
    <x:row r="140" ht="120" customHeight="1">
      <x:c r="A140" s="250" t="str">
        <x:v>LIVE34-03</x:v>
      </x:c>
      <x:c r="B140" s="250" t="str">
        <x:v>Performance et robustesse</x:v>
      </x:c>
      <x:c r="C140" s="250" t="str">
        <x:v>P1</x:v>
      </x:c>
      <x:c r="D140" s="250" t="str">
        <x:v>Fait</x:v>
      </x:c>
      <x:c r="E140" s="250" t="str">
        <x:v>Préparation des sons et renouvellement du contexte</x:v>
      </x:c>
      <x:c r="F140" s="250" t="str">
        <x:v>Les buffers étaient générés sur la première frappe ; les anciennes voix pouvaient bloquer un nouveau contexte à capacité pleine.</x:v>
      </x:c>
      <x:c r="G140" s="250" t="str">
        <x:v>Préparation silencieuse de la signature sélectionnée ; réutilisation des buffers ; anciennes voix et cache libérés avant le contrôle de capacité.</x:v>
      </x:c>
      <x:c r="H140" s="250" t="str">
        <x:v>Première frappe sans nouvelle allocation de buffer après préparation ; zéro voix jouée au préchauffage ; limites 12 voix/96 buffers conservées.</x:v>
      </x:c>
      <x:c r="I140" s="250" t="str">
        <x:v>src/feedback33.js ; src/live-feedback34.js ; tests/v34.test.cjs</x:v>
      </x:c>
      <x:c r="J140" s="250" t="str">
        <x:v>PER-01</x:v>
      </x:c>
      <x:c r="K140" s="250" t="str">
        <x:v>Ne mesure pas la latence acoustique ou le budget global de frame sur matériel réel.</x:v>
      </x:c>
    </x:row>
    <x:row r="141" ht="120" customHeight="1">
      <x:c r="A141" s="250" t="str">
        <x:v>QA34-01</x:v>
      </x:c>
      <x:c r="B141" s="250" t="str">
        <x:v>Tests et validation</x:v>
      </x:c>
      <x:c r="C141" s="250" t="str">
        <x:v>P1</x:v>
      </x:c>
      <x:c r="D141" s="250" t="str">
        <x:v>Fait</x:v>
      </x:c>
      <x:c r="E141" s="250" t="str">
        <x:v>Nettoyage concurrent et annulation native</x:v>
      </x:c>
      <x:c r="F141" s="250" t="str">
        <x:v>Les références doivent être revérifiées au dernier instant, pas seulement à l’ouverture du dialogue.</x:v>
      </x:c>
      <x:c r="G141" s="250" t="str">
        <x:v>Tests de référence ajoutée après analyse, analyse périmée, racine en mémoire, accès en lecture seule et véritable abort IndexedDB après requête de suppression.</x:v>
      </x:c>
      <x:c r="H141" s="250" t="str">
        <x:v>Aucun média référencé retiré ; après abort, octets intacts et aucun événement de succès ; nouvelle sélection explicite puis nettoyage réussi.</x:v>
      </x:c>
      <x:c r="I141" s="250" t="str">
        <x:v>tests/v34.test.cjs ; tests/v34_browser_test.py ; qa/v34/verified.json</x:v>
      </x:c>
      <x:c r="J141" s="250" t="str">
        <x:v>SAV-07</x:v>
      </x:c>
      <x:c r="K141" s="250" t="str">
        <x:v>Le contrôle natif est exigé par la CI avant publication ; un abort volontaire ne simule pas une panne disque.</x:v>
      </x:c>
    </x:row>
    <x:row r="142" ht="24" customHeight="1">
      <x:c r="A142" s="10"/>
      <x:c r="B142" s="10"/>
      <x:c r="C142" s="10"/>
      <x:c r="D142" s="10"/>
      <x:c r="E142" s="10"/>
      <x:c r="F142" s="10"/>
      <x:c r="G142" s="10"/>
      <x:c r="H142" s="10"/>
      <x:c r="I142" s="10"/>
      <x:c r="J142" s="10"/>
      <x:c r="K142" s="10"/>
    </x:row>
    <x:row r="143" ht="24" customHeight="1">
      <x:c r="A143" s="10"/>
      <x:c r="B143" s="10"/>
      <x:c r="C143" s="10"/>
      <x:c r="D143" s="10"/>
      <x:c r="E143" s="10"/>
      <x:c r="F143" s="10"/>
      <x:c r="G143" s="10"/>
      <x:c r="H143" s="10"/>
      <x:c r="I143" s="10"/>
      <x:c r="J143" s="10"/>
      <x:c r="K143" s="10"/>
    </x:row>
    <x:row r="144" ht="24" customHeight="1">
      <x:c r="A144" s="10"/>
      <x:c r="B144" s="10"/>
      <x:c r="C144" s="10"/>
      <x:c r="D144" s="10"/>
      <x:c r="E144" s="10"/>
      <x:c r="F144" s="10"/>
      <x:c r="G144" s="10"/>
      <x:c r="H144" s="10"/>
      <x:c r="I144" s="10"/>
      <x:c r="J144" s="10"/>
      <x:c r="K144" s="10"/>
    </x:row>
    <x:row r="145" ht="24" customHeight="1">
      <x:c r="A145" s="10"/>
      <x:c r="B145" s="10"/>
      <x:c r="C145" s="10"/>
      <x:c r="D145" s="10"/>
      <x:c r="E145" s="10"/>
      <x:c r="F145" s="10"/>
      <x:c r="G145" s="10"/>
      <x:c r="H145" s="10"/>
      <x:c r="I145" s="10"/>
      <x:c r="J145" s="10"/>
      <x:c r="K145" s="10"/>
    </x:row>
    <x:row r="146" ht="24" customHeight="1">
      <x:c r="A146" s="10"/>
      <x:c r="B146" s="10"/>
      <x:c r="C146" s="10"/>
      <x:c r="D146" s="10"/>
      <x:c r="E146" s="10"/>
      <x:c r="F146" s="10"/>
      <x:c r="G146" s="10"/>
      <x:c r="H146" s="10"/>
      <x:c r="I146" s="10"/>
      <x:c r="J146" s="10"/>
      <x:c r="K146" s="10"/>
    </x:row>
    <x:row r="147" ht="24" customHeight="1">
      <x:c r="A147" s="10"/>
      <x:c r="B147" s="10"/>
      <x:c r="C147" s="10"/>
      <x:c r="D147" s="10"/>
      <x:c r="E147" s="10"/>
      <x:c r="F147" s="10"/>
      <x:c r="G147" s="10"/>
      <x:c r="H147" s="10"/>
      <x:c r="I147" s="10"/>
      <x:c r="J147" s="10"/>
      <x:c r="K147" s="10"/>
    </x:row>
    <x:row r="148" ht="24" customHeight="1">
      <x:c r="A148" s="10"/>
      <x:c r="B148" s="10"/>
      <x:c r="C148" s="10"/>
      <x:c r="D148" s="10"/>
      <x:c r="E148" s="10"/>
      <x:c r="F148" s="10"/>
      <x:c r="G148" s="10"/>
      <x:c r="H148" s="10"/>
      <x:c r="I148" s="10"/>
      <x:c r="J148" s="10"/>
      <x:c r="K148" s="10"/>
    </x:row>
    <x:row r="149" ht="24" customHeight="1">
      <x:c r="A149" s="10"/>
      <x:c r="B149" s="10"/>
      <x:c r="C149" s="10"/>
      <x:c r="D149" s="10"/>
      <x:c r="E149" s="10"/>
      <x:c r="F149" s="10"/>
      <x:c r="G149" s="10"/>
      <x:c r="H149" s="10"/>
      <x:c r="I149" s="10"/>
      <x:c r="J149" s="10"/>
      <x:c r="K149" s="10"/>
    </x:row>
    <x:row r="150" ht="24" customHeight="1">
      <x:c r="A150" s="10"/>
      <x:c r="B150" s="10"/>
      <x:c r="C150" s="10"/>
      <x:c r="D150" s="10"/>
      <x:c r="E150" s="10"/>
      <x:c r="F150" s="10"/>
      <x:c r="G150" s="10"/>
      <x:c r="H150" s="10"/>
      <x:c r="I150" s="10"/>
      <x:c r="J150" s="10"/>
      <x:c r="K150" s="10"/>
    </x:row>
    <x:row r="151" ht="24" customHeight="1">
      <x:c r="A151" s="10"/>
      <x:c r="B151" s="10"/>
      <x:c r="C151" s="10"/>
      <x:c r="D151" s="10"/>
      <x:c r="E151" s="10"/>
      <x:c r="F151" s="10"/>
      <x:c r="G151" s="10"/>
      <x:c r="H151" s="10"/>
      <x:c r="I151" s="10"/>
      <x:c r="J151" s="10"/>
      <x:c r="K151" s="10"/>
    </x:row>
    <x:row r="152" ht="24" customHeight="1">
      <x:c r="A152" s="10"/>
      <x:c r="B152" s="10"/>
      <x:c r="C152" s="10"/>
      <x:c r="D152" s="10"/>
      <x:c r="E152" s="10"/>
      <x:c r="F152" s="10"/>
      <x:c r="G152" s="10"/>
      <x:c r="H152" s="10"/>
      <x:c r="I152" s="10"/>
      <x:c r="J152" s="10"/>
      <x:c r="K152" s="10"/>
    </x:row>
    <x:row r="153" ht="24" customHeight="1">
      <x:c r="A153" s="10"/>
      <x:c r="B153" s="10"/>
      <x:c r="C153" s="10"/>
      <x:c r="D153" s="10"/>
      <x:c r="E153" s="10"/>
      <x:c r="F153" s="10"/>
      <x:c r="G153" s="10"/>
      <x:c r="H153" s="10"/>
      <x:c r="I153" s="10"/>
      <x:c r="J153" s="10"/>
      <x:c r="K153" s="10"/>
    </x:row>
    <x:row r="154" ht="24" customHeight="1">
      <x:c r="A154" s="10"/>
      <x:c r="B154" s="10"/>
      <x:c r="C154" s="10"/>
      <x:c r="D154" s="10"/>
      <x:c r="E154" s="10"/>
      <x:c r="F154" s="10"/>
      <x:c r="G154" s="10"/>
      <x:c r="H154" s="10"/>
      <x:c r="I154" s="10"/>
      <x:c r="J154" s="10"/>
      <x:c r="K154" s="10"/>
    </x:row>
    <x:row r="155" ht="24" customHeight="1">
      <x:c r="A155" s="10"/>
      <x:c r="B155" s="10"/>
      <x:c r="C155" s="10"/>
      <x:c r="D155" s="10"/>
      <x:c r="E155" s="10"/>
      <x:c r="F155" s="10"/>
      <x:c r="G155" s="10"/>
      <x:c r="H155" s="10"/>
      <x:c r="I155" s="10"/>
      <x:c r="J155" s="10"/>
      <x:c r="K155" s="10"/>
    </x:row>
    <x:row r="156" ht="24" customHeight="1">
      <x:c r="A156" s="10"/>
      <x:c r="B156" s="10"/>
      <x:c r="C156" s="10"/>
      <x:c r="D156" s="10"/>
      <x:c r="E156" s="10"/>
      <x:c r="F156" s="10"/>
      <x:c r="G156" s="10"/>
      <x:c r="H156" s="10"/>
      <x:c r="I156" s="10"/>
      <x:c r="J156" s="10"/>
      <x:c r="K156" s="10"/>
    </x:row>
    <x:row r="157" ht="24" customHeight="1">
      <x:c r="A157" s="10"/>
      <x:c r="B157" s="10"/>
      <x:c r="C157" s="10"/>
      <x:c r="D157" s="10"/>
      <x:c r="E157" s="10"/>
      <x:c r="F157" s="10"/>
      <x:c r="G157" s="10"/>
      <x:c r="H157" s="10"/>
      <x:c r="I157" s="10"/>
      <x:c r="J157" s="10"/>
      <x:c r="K157" s="10"/>
    </x:row>
    <x:row r="158" ht="24" customHeight="1">
      <x:c r="A158" s="10"/>
      <x:c r="B158" s="10"/>
      <x:c r="C158" s="10"/>
      <x:c r="D158" s="10"/>
      <x:c r="E158" s="10"/>
      <x:c r="F158" s="10"/>
      <x:c r="G158" s="10"/>
      <x:c r="H158" s="10"/>
      <x:c r="I158" s="10"/>
      <x:c r="J158" s="10"/>
      <x:c r="K158" s="10"/>
    </x:row>
    <x:row r="159" ht="24" customHeight="1">
      <x:c r="A159" s="10"/>
      <x:c r="B159" s="10"/>
      <x:c r="C159" s="10"/>
      <x:c r="D159" s="10"/>
      <x:c r="E159" s="10"/>
      <x:c r="F159" s="10"/>
      <x:c r="G159" s="10"/>
      <x:c r="H159" s="10"/>
      <x:c r="I159" s="10"/>
      <x:c r="J159" s="10"/>
      <x:c r="K159" s="10"/>
    </x:row>
    <x:row r="160" ht="24" customHeight="1">
      <x:c r="A160" s="10"/>
      <x:c r="B160" s="10"/>
      <x:c r="C160" s="10"/>
      <x:c r="D160" s="10"/>
      <x:c r="E160" s="10"/>
      <x:c r="F160" s="10"/>
      <x:c r="G160" s="10"/>
      <x:c r="H160" s="10"/>
      <x:c r="I160" s="10"/>
      <x:c r="J160" s="10"/>
      <x:c r="K160" s="10"/>
    </x:row>
    <x:row r="161" ht="24" customHeight="1">
      <x:c r="A161" s="10"/>
      <x:c r="B161" s="10"/>
      <x:c r="C161" s="10"/>
      <x:c r="D161" s="10"/>
      <x:c r="E161" s="10"/>
      <x:c r="F161" s="10"/>
      <x:c r="G161" s="10"/>
      <x:c r="H161" s="10"/>
      <x:c r="I161" s="10"/>
      <x:c r="J161" s="10"/>
      <x:c r="K161" s="10"/>
    </x:row>
    <x:row r="162" ht="24" customHeight="1">
      <x:c r="A162" s="10"/>
      <x:c r="B162" s="10"/>
      <x:c r="C162" s="10"/>
      <x:c r="D162" s="10"/>
      <x:c r="E162" s="10"/>
      <x:c r="F162" s="10"/>
      <x:c r="G162" s="10"/>
      <x:c r="H162" s="10"/>
      <x:c r="I162" s="10"/>
      <x:c r="J162" s="10"/>
      <x:c r="K162" s="10"/>
    </x:row>
    <x:row r="163" ht="24" customHeight="1">
      <x:c r="A163" s="10"/>
      <x:c r="B163" s="10"/>
      <x:c r="C163" s="10"/>
      <x:c r="D163" s="10"/>
      <x:c r="E163" s="10"/>
      <x:c r="F163" s="10"/>
      <x:c r="G163" s="10"/>
      <x:c r="H163" s="10"/>
      <x:c r="I163" s="10"/>
      <x:c r="J163" s="10"/>
      <x:c r="K163" s="10"/>
    </x:row>
    <x:row r="164" ht="24" customHeight="1">
      <x:c r="A164" s="10"/>
      <x:c r="B164" s="10"/>
      <x:c r="C164" s="10"/>
      <x:c r="D164" s="10"/>
      <x:c r="E164" s="10"/>
      <x:c r="F164" s="10"/>
      <x:c r="G164" s="10"/>
      <x:c r="H164" s="10"/>
      <x:c r="I164" s="10"/>
      <x:c r="J164" s="10"/>
      <x:c r="K164" s="10"/>
    </x:row>
    <x:row r="165" ht="24" customHeight="1">
      <x:c r="A165" s="10"/>
      <x:c r="B165" s="10"/>
      <x:c r="C165" s="10"/>
      <x:c r="D165" s="10"/>
      <x:c r="E165" s="10"/>
      <x:c r="F165" s="10"/>
      <x:c r="G165" s="10"/>
      <x:c r="H165" s="10"/>
      <x:c r="I165" s="10"/>
      <x:c r="J165" s="10"/>
      <x:c r="K165" s="10"/>
    </x:row>
    <x:row r="166" ht="24" customHeight="1">
      <x:c r="A166" s="10"/>
      <x:c r="B166" s="10"/>
      <x:c r="C166" s="10"/>
      <x:c r="D166" s="10"/>
      <x:c r="E166" s="10"/>
      <x:c r="F166" s="10"/>
      <x:c r="G166" s="10"/>
      <x:c r="H166" s="10"/>
      <x:c r="I166" s="10"/>
      <x:c r="J166" s="10"/>
      <x:c r="K166" s="10"/>
    </x:row>
    <x:row r="167" ht="24" customHeight="1">
      <x:c r="A167" s="10"/>
      <x:c r="B167" s="10"/>
      <x:c r="C167" s="10"/>
      <x:c r="D167" s="10"/>
      <x:c r="E167" s="10"/>
      <x:c r="F167" s="10"/>
      <x:c r="G167" s="10"/>
      <x:c r="H167" s="10"/>
      <x:c r="I167" s="10"/>
      <x:c r="J167" s="10"/>
      <x:c r="K167" s="10"/>
    </x:row>
    <x:row r="168" ht="24" customHeight="1">
      <x:c r="A168" s="10"/>
      <x:c r="B168" s="10"/>
      <x:c r="C168" s="10"/>
      <x:c r="D168" s="10"/>
      <x:c r="E168" s="10"/>
      <x:c r="F168" s="10"/>
      <x:c r="G168" s="10"/>
      <x:c r="H168" s="10"/>
      <x:c r="I168" s="10"/>
      <x:c r="J168" s="10"/>
      <x:c r="K168" s="10"/>
    </x:row>
    <x:row r="169" ht="24" customHeight="1">
      <x:c r="A169" s="10"/>
      <x:c r="B169" s="10"/>
      <x:c r="C169" s="10"/>
      <x:c r="D169" s="10"/>
      <x:c r="E169" s="10"/>
      <x:c r="F169" s="10"/>
      <x:c r="G169" s="10"/>
      <x:c r="H169" s="10"/>
      <x:c r="I169" s="10"/>
      <x:c r="J169" s="10"/>
      <x:c r="K169" s="10"/>
    </x:row>
    <x:row r="170" ht="24" customHeight="1">
      <x:c r="A170" s="10"/>
      <x:c r="B170" s="10"/>
      <x:c r="C170" s="10"/>
      <x:c r="D170" s="10"/>
      <x:c r="E170" s="10"/>
      <x:c r="F170" s="10"/>
      <x:c r="G170" s="10"/>
      <x:c r="H170" s="10"/>
      <x:c r="I170" s="10"/>
      <x:c r="J170" s="10"/>
      <x:c r="K170" s="10"/>
    </x:row>
    <x:row r="171" ht="24" customHeight="1">
      <x:c r="A171" s="10"/>
      <x:c r="B171" s="10"/>
      <x:c r="C171" s="10"/>
      <x:c r="D171" s="10"/>
      <x:c r="E171" s="10"/>
      <x:c r="F171" s="10"/>
      <x:c r="G171" s="10"/>
      <x:c r="H171" s="10"/>
      <x:c r="I171" s="10"/>
      <x:c r="J171" s="10"/>
      <x:c r="K171" s="10"/>
    </x:row>
    <x:row r="172" ht="24" customHeight="1">
      <x:c r="A172" s="10"/>
      <x:c r="B172" s="10"/>
      <x:c r="C172" s="10"/>
      <x:c r="D172" s="10"/>
      <x:c r="E172" s="10"/>
      <x:c r="F172" s="10"/>
      <x:c r="G172" s="10"/>
      <x:c r="H172" s="10"/>
      <x:c r="I172" s="10"/>
      <x:c r="J172" s="10"/>
      <x:c r="K172" s="10"/>
    </x:row>
    <x:row r="173" ht="24" customHeight="1">
      <x:c r="A173" s="10"/>
      <x:c r="B173" s="10"/>
      <x:c r="C173" s="10"/>
      <x:c r="D173" s="10"/>
      <x:c r="E173" s="10"/>
      <x:c r="F173" s="10"/>
      <x:c r="G173" s="10"/>
      <x:c r="H173" s="10"/>
      <x:c r="I173" s="10"/>
      <x:c r="J173" s="10"/>
      <x:c r="K173" s="10"/>
    </x:row>
    <x:row r="174" ht="24" customHeight="1">
      <x:c r="A174" s="10"/>
      <x:c r="B174" s="10"/>
      <x:c r="C174" s="10"/>
      <x:c r="D174" s="10"/>
      <x:c r="E174" s="10"/>
      <x:c r="F174" s="10"/>
      <x:c r="G174" s="10"/>
      <x:c r="H174" s="10"/>
      <x:c r="I174" s="10"/>
      <x:c r="J174" s="10"/>
      <x:c r="K174" s="10"/>
    </x:row>
    <x:row r="175" ht="24" customHeight="1">
      <x:c r="A175" s="10"/>
      <x:c r="B175" s="10"/>
      <x:c r="C175" s="10"/>
      <x:c r="D175" s="10"/>
      <x:c r="E175" s="10"/>
      <x:c r="F175" s="10"/>
      <x:c r="G175" s="10"/>
      <x:c r="H175" s="10"/>
      <x:c r="I175" s="10"/>
      <x:c r="J175" s="10"/>
      <x:c r="K175" s="10"/>
    </x:row>
    <x:row r="176" ht="24" customHeight="1">
      <x:c r="A176" s="10"/>
      <x:c r="B176" s="10"/>
      <x:c r="C176" s="10"/>
      <x:c r="D176" s="10"/>
      <x:c r="E176" s="10"/>
      <x:c r="F176" s="10"/>
      <x:c r="G176" s="10"/>
      <x:c r="H176" s="10"/>
      <x:c r="I176" s="10"/>
      <x:c r="J176" s="10"/>
      <x:c r="K176" s="10"/>
    </x:row>
    <x:row r="177" ht="24" customHeight="1">
      <x:c r="A177" s="10"/>
      <x:c r="B177" s="10"/>
      <x:c r="C177" s="10"/>
      <x:c r="D177" s="10"/>
      <x:c r="E177" s="10"/>
      <x:c r="F177" s="10"/>
      <x:c r="G177" s="10"/>
      <x:c r="H177" s="10"/>
      <x:c r="I177" s="10"/>
      <x:c r="J177" s="10"/>
      <x:c r="K177" s="10"/>
    </x:row>
    <x:row r="178" ht="24" customHeight="1">
      <x:c r="A178" s="10"/>
      <x:c r="B178" s="10"/>
      <x:c r="C178" s="10"/>
      <x:c r="D178" s="10"/>
      <x:c r="E178" s="10"/>
      <x:c r="F178" s="10"/>
      <x:c r="G178" s="10"/>
      <x:c r="H178" s="10"/>
      <x:c r="I178" s="10"/>
      <x:c r="J178" s="10"/>
      <x:c r="K178" s="10"/>
    </x:row>
    <x:row r="179" ht="24" customHeight="1">
      <x:c r="A179" s="10"/>
      <x:c r="B179" s="10"/>
      <x:c r="C179" s="10"/>
      <x:c r="D179" s="10"/>
      <x:c r="E179" s="10"/>
      <x:c r="F179" s="10"/>
      <x:c r="G179" s="10"/>
      <x:c r="H179" s="10"/>
      <x:c r="I179" s="10"/>
      <x:c r="J179" s="10"/>
      <x:c r="K179" s="10"/>
    </x:row>
    <x:row r="180" ht="24" customHeight="1">
      <x:c r="A180" s="10"/>
      <x:c r="B180" s="10"/>
      <x:c r="C180" s="10"/>
      <x:c r="D180" s="10"/>
      <x:c r="E180" s="10"/>
      <x:c r="F180" s="10"/>
      <x:c r="G180" s="10"/>
      <x:c r="H180" s="10"/>
      <x:c r="I180" s="10"/>
      <x:c r="J180" s="10"/>
      <x:c r="K180" s="10"/>
    </x:row>
    <x:row r="181" ht="24" customHeight="1">
      <x:c r="A181" s="10"/>
      <x:c r="B181" s="10"/>
      <x:c r="C181" s="10"/>
      <x:c r="D181" s="10"/>
      <x:c r="E181" s="10"/>
      <x:c r="F181" s="10"/>
      <x:c r="G181" s="10"/>
      <x:c r="H181" s="10"/>
      <x:c r="I181" s="10"/>
      <x:c r="J181" s="10"/>
      <x:c r="K181" s="10"/>
    </x:row>
    <x:row r="182" ht="24" customHeight="1">
      <x:c r="A182" s="10"/>
      <x:c r="B182" s="10"/>
      <x:c r="C182" s="10"/>
      <x:c r="D182" s="10"/>
      <x:c r="E182" s="10"/>
      <x:c r="F182" s="10"/>
      <x:c r="G182" s="10"/>
      <x:c r="H182" s="10"/>
      <x:c r="I182" s="10"/>
      <x:c r="J182" s="10"/>
      <x:c r="K182" s="10"/>
    </x:row>
    <x:row r="183" ht="24" customHeight="1">
      <x:c r="A183" s="10"/>
      <x:c r="B183" s="10"/>
      <x:c r="C183" s="10"/>
      <x:c r="D183" s="10"/>
      <x:c r="E183" s="10"/>
      <x:c r="F183" s="10"/>
      <x:c r="G183" s="10"/>
      <x:c r="H183" s="10"/>
      <x:c r="I183" s="10"/>
      <x:c r="J183" s="10"/>
      <x:c r="K183" s="10"/>
    </x:row>
    <x:row r="184" ht="24" customHeight="1">
      <x:c r="A184" s="10"/>
      <x:c r="B184" s="10"/>
      <x:c r="C184" s="10"/>
      <x:c r="D184" s="10"/>
      <x:c r="E184" s="10"/>
      <x:c r="F184" s="10"/>
      <x:c r="G184" s="10"/>
      <x:c r="H184" s="10"/>
      <x:c r="I184" s="10"/>
      <x:c r="J184" s="10"/>
      <x:c r="K184" s="10"/>
    </x:row>
    <x:row r="185" ht="24" customHeight="1">
      <x:c r="A185" s="10"/>
      <x:c r="B185" s="10"/>
      <x:c r="C185" s="10"/>
      <x:c r="D185" s="10"/>
      <x:c r="E185" s="10"/>
      <x:c r="F185" s="10"/>
      <x:c r="G185" s="10"/>
      <x:c r="H185" s="10"/>
      <x:c r="I185" s="10"/>
      <x:c r="J185" s="10"/>
      <x:c r="K185" s="10"/>
    </x:row>
    <x:row r="186" ht="24" customHeight="1">
      <x:c r="A186" s="10"/>
      <x:c r="B186" s="10"/>
      <x:c r="C186" s="10"/>
      <x:c r="D186" s="10"/>
      <x:c r="E186" s="10"/>
      <x:c r="F186" s="10"/>
      <x:c r="G186" s="10"/>
      <x:c r="H186" s="10"/>
      <x:c r="I186" s="10"/>
      <x:c r="J186" s="10"/>
      <x:c r="K186" s="10"/>
    </x:row>
    <x:row r="187" ht="24" customHeight="1">
      <x:c r="A187" s="10"/>
      <x:c r="B187" s="10"/>
      <x:c r="C187" s="10"/>
      <x:c r="D187" s="10"/>
      <x:c r="E187" s="10"/>
      <x:c r="F187" s="10"/>
      <x:c r="G187" s="10"/>
      <x:c r="H187" s="10"/>
      <x:c r="I187" s="10"/>
      <x:c r="J187" s="10"/>
      <x:c r="K187" s="10"/>
    </x:row>
    <x:row r="188" ht="24" customHeight="1">
      <x:c r="A188" s="10"/>
      <x:c r="B188" s="10"/>
      <x:c r="C188" s="10"/>
      <x:c r="D188" s="10"/>
      <x:c r="E188" s="10"/>
      <x:c r="F188" s="10"/>
      <x:c r="G188" s="10"/>
      <x:c r="H188" s="10"/>
      <x:c r="I188" s="10"/>
      <x:c r="J188" s="10"/>
      <x:c r="K188" s="10"/>
    </x:row>
    <x:row r="189" ht="24" customHeight="1">
      <x:c r="A189" s="10"/>
      <x:c r="B189" s="10"/>
      <x:c r="C189" s="10"/>
      <x:c r="D189" s="10"/>
      <x:c r="E189" s="10"/>
      <x:c r="F189" s="10"/>
      <x:c r="G189" s="10"/>
      <x:c r="H189" s="10"/>
      <x:c r="I189" s="10"/>
      <x:c r="J189" s="10"/>
      <x:c r="K189" s="10"/>
    </x:row>
    <x:row r="190" ht="24" customHeight="1">
      <x:c r="A190" s="10"/>
      <x:c r="B190" s="10"/>
      <x:c r="C190" s="10"/>
      <x:c r="D190" s="10"/>
      <x:c r="E190" s="10"/>
      <x:c r="F190" s="10"/>
      <x:c r="G190" s="10"/>
      <x:c r="H190" s="10"/>
      <x:c r="I190" s="10"/>
      <x:c r="J190" s="10"/>
      <x:c r="K190" s="10"/>
    </x:row>
    <x:row r="191" ht="24" customHeight="1">
      <x:c r="A191" s="10"/>
      <x:c r="B191" s="10"/>
      <x:c r="C191" s="10"/>
      <x:c r="D191" s="10"/>
      <x:c r="E191" s="10"/>
      <x:c r="F191" s="10"/>
      <x:c r="G191" s="10"/>
      <x:c r="H191" s="10"/>
      <x:c r="I191" s="10"/>
      <x:c r="J191" s="10"/>
      <x:c r="K191" s="10"/>
    </x:row>
    <x:row r="192" ht="24" customHeight="1">
      <x:c r="A192" s="10"/>
      <x:c r="B192" s="10"/>
      <x:c r="C192" s="10"/>
      <x:c r="D192" s="10"/>
      <x:c r="E192" s="10"/>
      <x:c r="F192" s="10"/>
      <x:c r="G192" s="10"/>
      <x:c r="H192" s="10"/>
      <x:c r="I192" s="10"/>
      <x:c r="J192" s="10"/>
      <x:c r="K192" s="10"/>
    </x:row>
    <x:row r="193" ht="24" customHeight="1">
      <x:c r="A193" s="10"/>
      <x:c r="B193" s="10"/>
      <x:c r="C193" s="10"/>
      <x:c r="D193" s="10"/>
      <x:c r="E193" s="10"/>
      <x:c r="F193" s="10"/>
      <x:c r="G193" s="10"/>
      <x:c r="H193" s="10"/>
      <x:c r="I193" s="10"/>
      <x:c r="J193" s="10"/>
      <x:c r="K193" s="10"/>
    </x:row>
    <x:row r="194" ht="24" customHeight="1">
      <x:c r="A194" s="10"/>
      <x:c r="B194" s="10"/>
      <x:c r="C194" s="10"/>
      <x:c r="D194" s="10"/>
      <x:c r="E194" s="10"/>
      <x:c r="F194" s="10"/>
      <x:c r="G194" s="10"/>
      <x:c r="H194" s="10"/>
      <x:c r="I194" s="10"/>
      <x:c r="J194" s="10"/>
      <x:c r="K194" s="10"/>
    </x:row>
    <x:row r="195" ht="24" customHeight="1">
      <x:c r="A195" s="10"/>
      <x:c r="B195" s="10"/>
      <x:c r="C195" s="10"/>
      <x:c r="D195" s="10"/>
      <x:c r="E195" s="10"/>
      <x:c r="F195" s="10"/>
      <x:c r="G195" s="10"/>
      <x:c r="H195" s="10"/>
      <x:c r="I195" s="10"/>
      <x:c r="J195" s="10"/>
      <x:c r="K195" s="10"/>
    </x:row>
    <x:row r="196" ht="24" customHeight="1">
      <x:c r="A196" s="10"/>
      <x:c r="B196" s="10"/>
      <x:c r="C196" s="10"/>
      <x:c r="D196" s="10"/>
      <x:c r="E196" s="10"/>
      <x:c r="F196" s="10"/>
      <x:c r="G196" s="10"/>
      <x:c r="H196" s="10"/>
      <x:c r="I196" s="10"/>
      <x:c r="J196" s="10"/>
      <x:c r="K196" s="10"/>
    </x:row>
    <x:row r="197" ht="24" customHeight="1">
      <x:c r="A197" s="10"/>
      <x:c r="B197" s="10"/>
      <x:c r="C197" s="10"/>
      <x:c r="D197" s="10"/>
      <x:c r="E197" s="10"/>
      <x:c r="F197" s="10"/>
      <x:c r="G197" s="10"/>
      <x:c r="H197" s="10"/>
      <x:c r="I197" s="10"/>
      <x:c r="J197" s="10"/>
      <x:c r="K197" s="10"/>
    </x:row>
    <x:row r="198" ht="24" customHeight="1">
      <x:c r="A198" s="10"/>
      <x:c r="B198" s="10"/>
      <x:c r="C198" s="10"/>
      <x:c r="D198" s="10"/>
      <x:c r="E198" s="10"/>
      <x:c r="F198" s="10"/>
      <x:c r="G198" s="10"/>
      <x:c r="H198" s="10"/>
      <x:c r="I198" s="10"/>
      <x:c r="J198" s="10"/>
      <x:c r="K198" s="10"/>
    </x:row>
    <x:row r="199" ht="24" customHeight="1">
      <x:c r="A199" s="10"/>
      <x:c r="B199" s="10"/>
      <x:c r="C199" s="10"/>
      <x:c r="D199" s="10"/>
      <x:c r="E199" s="10"/>
      <x:c r="F199" s="10"/>
      <x:c r="G199" s="10"/>
      <x:c r="H199" s="10"/>
      <x:c r="I199" s="10"/>
      <x:c r="J199" s="10"/>
      <x:c r="K199" s="10"/>
    </x:row>
    <x:row r="200" ht="24" customHeight="1">
      <x:c r="A200" s="10"/>
      <x:c r="B200" s="10"/>
      <x:c r="C200" s="10"/>
      <x:c r="D200" s="10"/>
      <x:c r="E200" s="10"/>
      <x:c r="F200" s="10"/>
      <x:c r="G200" s="10"/>
      <x:c r="H200" s="10"/>
      <x:c r="I200" s="10"/>
      <x:c r="J200" s="10"/>
      <x:c r="K200" s="10"/>
    </x:row>
    <x:row r="201" ht="24" customHeight="1">
      <x:c r="A201" s="10"/>
      <x:c r="B201" s="10"/>
      <x:c r="C201" s="10"/>
      <x:c r="D201" s="10"/>
      <x:c r="E201" s="10"/>
      <x:c r="F201" s="10"/>
      <x:c r="G201" s="10"/>
      <x:c r="H201" s="10"/>
      <x:c r="I201" s="10"/>
      <x:c r="J201" s="10"/>
      <x:c r="K201" s="10"/>
    </x:row>
    <x:row r="202" ht="24" customHeight="1">
      <x:c r="A202" s="10"/>
      <x:c r="B202" s="10"/>
      <x:c r="C202" s="10"/>
      <x:c r="D202" s="10"/>
      <x:c r="E202" s="10"/>
      <x:c r="F202" s="10"/>
      <x:c r="G202" s="10"/>
      <x:c r="H202" s="10"/>
      <x:c r="I202" s="10"/>
      <x:c r="J202" s="10"/>
      <x:c r="K202" s="10"/>
    </x:row>
    <x:row r="203" ht="24" customHeight="1">
      <x:c r="A203" s="10"/>
      <x:c r="B203" s="10"/>
      <x:c r="C203" s="10"/>
      <x:c r="D203" s="10"/>
      <x:c r="E203" s="10"/>
      <x:c r="F203" s="10"/>
      <x:c r="G203" s="10"/>
      <x:c r="H203" s="10"/>
      <x:c r="I203" s="10"/>
      <x:c r="J203" s="10"/>
      <x:c r="K203" s="10"/>
    </x:row>
    <x:row r="204" ht="24" customHeight="1">
      <x:c r="A204" s="10"/>
      <x:c r="B204" s="10"/>
      <x:c r="C204" s="10"/>
      <x:c r="D204" s="10"/>
      <x:c r="E204" s="10"/>
      <x:c r="F204" s="10"/>
      <x:c r="G204" s="10"/>
      <x:c r="H204" s="10"/>
      <x:c r="I204" s="10"/>
      <x:c r="J204" s="10"/>
      <x:c r="K204" s="10"/>
    </x:row>
    <x:row r="205" ht="24" customHeight="1">
      <x:c r="A205" s="10"/>
      <x:c r="B205" s="10"/>
      <x:c r="C205" s="10"/>
      <x:c r="D205" s="10"/>
      <x:c r="E205" s="10"/>
      <x:c r="F205" s="10"/>
      <x:c r="G205" s="10"/>
      <x:c r="H205" s="10"/>
      <x:c r="I205" s="10"/>
      <x:c r="J205" s="10"/>
      <x:c r="K205" s="10"/>
    </x:row>
    <x:row r="206" ht="24" customHeight="1">
      <x:c r="A206" s="10"/>
      <x:c r="B206" s="10"/>
      <x:c r="C206" s="10"/>
      <x:c r="D206" s="10"/>
      <x:c r="E206" s="10"/>
      <x:c r="F206" s="10"/>
      <x:c r="G206" s="10"/>
      <x:c r="H206" s="10"/>
      <x:c r="I206" s="10"/>
      <x:c r="J206" s="10"/>
      <x:c r="K206" s="10"/>
    </x:row>
    <x:row r="207" ht="24" customHeight="1">
      <x:c r="A207" s="10"/>
      <x:c r="B207" s="10"/>
      <x:c r="C207" s="10"/>
      <x:c r="D207" s="10"/>
      <x:c r="E207" s="10"/>
      <x:c r="F207" s="10"/>
      <x:c r="G207" s="10"/>
      <x:c r="H207" s="10"/>
      <x:c r="I207" s="10"/>
      <x:c r="J207" s="10"/>
      <x:c r="K207" s="10"/>
    </x:row>
    <x:row r="208" ht="24" customHeight="1">
      <x:c r="A208" s="10"/>
      <x:c r="B208" s="10"/>
      <x:c r="C208" s="10"/>
      <x:c r="D208" s="10"/>
      <x:c r="E208" s="10"/>
      <x:c r="F208" s="10"/>
      <x:c r="G208" s="10"/>
      <x:c r="H208" s="10"/>
      <x:c r="I208" s="10"/>
      <x:c r="J208" s="10"/>
      <x:c r="K208" s="10"/>
    </x:row>
    <x:row r="209" ht="24" customHeight="1">
      <x:c r="A209" s="10"/>
      <x:c r="B209" s="10"/>
      <x:c r="C209" s="10"/>
      <x:c r="D209" s="10"/>
      <x:c r="E209" s="10"/>
      <x:c r="F209" s="10"/>
      <x:c r="G209" s="10"/>
      <x:c r="H209" s="10"/>
      <x:c r="I209" s="10"/>
      <x:c r="J209" s="10"/>
      <x:c r="K209" s="10"/>
    </x:row>
    <x:row r="210" ht="24" customHeight="1">
      <x:c r="A210" s="10"/>
      <x:c r="B210" s="10"/>
      <x:c r="C210" s="10"/>
      <x:c r="D210" s="10"/>
      <x:c r="E210" s="10"/>
      <x:c r="F210" s="10"/>
      <x:c r="G210" s="10"/>
      <x:c r="H210" s="10"/>
      <x:c r="I210" s="10"/>
      <x:c r="J210" s="10"/>
      <x:c r="K210" s="10"/>
    </x:row>
    <x:row r="211" ht="24" customHeight="1">
      <x:c r="A211" s="10"/>
      <x:c r="B211" s="10"/>
      <x:c r="C211" s="10"/>
      <x:c r="D211" s="10"/>
      <x:c r="E211" s="10"/>
      <x:c r="F211" s="10"/>
      <x:c r="G211" s="10"/>
      <x:c r="H211" s="10"/>
      <x:c r="I211" s="10"/>
      <x:c r="J211" s="10"/>
      <x:c r="K211" s="10"/>
    </x:row>
    <x:row r="212" ht="24" customHeight="1">
      <x:c r="A212" s="10"/>
      <x:c r="B212" s="10"/>
      <x:c r="C212" s="10"/>
      <x:c r="D212" s="10"/>
      <x:c r="E212" s="10"/>
      <x:c r="F212" s="10"/>
      <x:c r="G212" s="10"/>
      <x:c r="H212" s="10"/>
      <x:c r="I212" s="10"/>
      <x:c r="J212" s="10"/>
      <x:c r="K212" s="10"/>
    </x:row>
    <x:row r="213" ht="24" customHeight="1">
      <x:c r="A213" s="10"/>
      <x:c r="B213" s="10"/>
      <x:c r="C213" s="10"/>
      <x:c r="D213" s="10"/>
      <x:c r="E213" s="10"/>
      <x:c r="F213" s="10"/>
      <x:c r="G213" s="10"/>
      <x:c r="H213" s="10"/>
      <x:c r="I213" s="10"/>
      <x:c r="J213" s="10"/>
      <x:c r="K213" s="10"/>
    </x:row>
    <x:row r="214" ht="24" customHeight="1">
      <x:c r="A214" s="10"/>
      <x:c r="B214" s="10"/>
      <x:c r="C214" s="10"/>
      <x:c r="D214" s="10"/>
      <x:c r="E214" s="10"/>
      <x:c r="F214" s="10"/>
      <x:c r="G214" s="10"/>
      <x:c r="H214" s="10"/>
      <x:c r="I214" s="10"/>
      <x:c r="J214" s="10"/>
      <x:c r="K214" s="10"/>
    </x:row>
    <x:row r="215" ht="24" customHeight="1">
      <x:c r="A215" s="10"/>
      <x:c r="B215" s="10"/>
      <x:c r="C215" s="10"/>
      <x:c r="D215" s="10"/>
      <x:c r="E215" s="10"/>
      <x:c r="F215" s="10"/>
      <x:c r="G215" s="10"/>
      <x:c r="H215" s="10"/>
      <x:c r="I215" s="10"/>
      <x:c r="J215" s="10"/>
      <x:c r="K215" s="10"/>
    </x:row>
    <x:row r="216" ht="24" customHeight="1">
      <x:c r="A216" s="10"/>
      <x:c r="B216" s="10"/>
      <x:c r="C216" s="10"/>
      <x:c r="D216" s="10"/>
      <x:c r="E216" s="10"/>
      <x:c r="F216" s="10"/>
      <x:c r="G216" s="10"/>
      <x:c r="H216" s="10"/>
      <x:c r="I216" s="10"/>
      <x:c r="J216" s="10"/>
      <x:c r="K216" s="10"/>
    </x:row>
    <x:row r="217" ht="24" customHeight="1">
      <x:c r="A217" s="10"/>
      <x:c r="B217" s="10"/>
      <x:c r="C217" s="10"/>
      <x:c r="D217" s="10"/>
      <x:c r="E217" s="10"/>
      <x:c r="F217" s="10"/>
      <x:c r="G217" s="10"/>
      <x:c r="H217" s="10"/>
      <x:c r="I217" s="10"/>
      <x:c r="J217" s="10"/>
      <x:c r="K217" s="10"/>
    </x:row>
    <x:row r="218" ht="24" customHeight="1">
      <x:c r="A218" s="10"/>
      <x:c r="B218" s="10"/>
      <x:c r="C218" s="10"/>
      <x:c r="D218" s="10"/>
      <x:c r="E218" s="10"/>
      <x:c r="F218" s="10"/>
      <x:c r="G218" s="10"/>
      <x:c r="H218" s="10"/>
      <x:c r="I218" s="10"/>
      <x:c r="J218" s="10"/>
      <x:c r="K218" s="10"/>
    </x:row>
    <x:row r="219" ht="24" customHeight="1">
      <x:c r="A219" s="10"/>
      <x:c r="B219" s="10"/>
      <x:c r="C219" s="10"/>
      <x:c r="D219" s="10"/>
      <x:c r="E219" s="10"/>
      <x:c r="F219" s="10"/>
      <x:c r="G219" s="10"/>
      <x:c r="H219" s="10"/>
      <x:c r="I219" s="10"/>
      <x:c r="J219" s="10"/>
      <x:c r="K219" s="10"/>
    </x:row>
    <x:row r="220" ht="24" customHeight="1">
      <x:c r="A220" s="10"/>
      <x:c r="B220" s="10"/>
      <x:c r="C220" s="10"/>
      <x:c r="D220" s="10"/>
      <x:c r="E220" s="10"/>
      <x:c r="F220" s="10"/>
      <x:c r="G220" s="10"/>
      <x:c r="H220" s="10"/>
      <x:c r="I220" s="10"/>
      <x:c r="J220" s="10"/>
      <x:c r="K220" s="10"/>
    </x:row>
    <x:row r="221" ht="24" customHeight="1">
      <x:c r="A221" s="10"/>
      <x:c r="B221" s="10"/>
      <x:c r="C221" s="10"/>
      <x:c r="D221" s="10"/>
      <x:c r="E221" s="10"/>
      <x:c r="F221" s="10"/>
      <x:c r="G221" s="10"/>
      <x:c r="H221" s="10"/>
      <x:c r="I221" s="10"/>
      <x:c r="J221" s="10"/>
      <x:c r="K221" s="10"/>
    </x:row>
    <x:row r="222" ht="24" customHeight="1">
      <x:c r="A222" s="10"/>
      <x:c r="B222" s="10"/>
      <x:c r="C222" s="10"/>
      <x:c r="D222" s="10"/>
      <x:c r="E222" s="10"/>
      <x:c r="F222" s="10"/>
      <x:c r="G222" s="10"/>
      <x:c r="H222" s="10"/>
      <x:c r="I222" s="10"/>
      <x:c r="J222" s="10"/>
      <x:c r="K222" s="10"/>
    </x:row>
    <x:row r="223" ht="24" customHeight="1">
      <x:c r="A223" s="10"/>
      <x:c r="B223" s="10"/>
      <x:c r="C223" s="10"/>
      <x:c r="D223" s="10"/>
      <x:c r="E223" s="10"/>
      <x:c r="F223" s="10"/>
      <x:c r="G223" s="10"/>
      <x:c r="H223" s="10"/>
      <x:c r="I223" s="10"/>
      <x:c r="J223" s="10"/>
      <x:c r="K223" s="10"/>
    </x:row>
    <x:row r="224" ht="24" customHeight="1">
      <x:c r="A224" s="10"/>
      <x:c r="B224" s="10"/>
      <x:c r="C224" s="10"/>
      <x:c r="D224" s="10"/>
      <x:c r="E224" s="10"/>
      <x:c r="F224" s="10"/>
      <x:c r="G224" s="10"/>
      <x:c r="H224" s="10"/>
      <x:c r="I224" s="10"/>
      <x:c r="J224" s="10"/>
      <x:c r="K224" s="10"/>
    </x:row>
    <x:row r="225" ht="24" customHeight="1">
      <x:c r="A225" s="10"/>
      <x:c r="B225" s="10"/>
      <x:c r="C225" s="10"/>
      <x:c r="D225" s="10"/>
      <x:c r="E225" s="10"/>
      <x:c r="F225" s="10"/>
      <x:c r="G225" s="10"/>
      <x:c r="H225" s="10"/>
      <x:c r="I225" s="10"/>
      <x:c r="J225" s="10"/>
      <x:c r="K225" s="10"/>
    </x:row>
    <x:row r="226" ht="24" customHeight="1">
      <x:c r="A226" s="10"/>
      <x:c r="B226" s="10"/>
      <x:c r="C226" s="10"/>
      <x:c r="D226" s="10"/>
      <x:c r="E226" s="10"/>
      <x:c r="F226" s="10"/>
      <x:c r="G226" s="10"/>
      <x:c r="H226" s="10"/>
      <x:c r="I226" s="10"/>
      <x:c r="J226" s="10"/>
      <x:c r="K226" s="10"/>
    </x:row>
    <x:row r="227" ht="24" customHeight="1">
      <x:c r="A227" s="10"/>
      <x:c r="B227" s="10"/>
      <x:c r="C227" s="10"/>
      <x:c r="D227" s="10"/>
      <x:c r="E227" s="10"/>
      <x:c r="F227" s="10"/>
      <x:c r="G227" s="10"/>
      <x:c r="H227" s="10"/>
      <x:c r="I227" s="10"/>
      <x:c r="J227" s="10"/>
      <x:c r="K227" s="10"/>
    </x:row>
    <x:row r="228" ht="24" customHeight="1">
      <x:c r="A228" s="10"/>
      <x:c r="B228" s="10"/>
      <x:c r="C228" s="10"/>
      <x:c r="D228" s="10"/>
      <x:c r="E228" s="10"/>
      <x:c r="F228" s="10"/>
      <x:c r="G228" s="10"/>
      <x:c r="H228" s="10"/>
      <x:c r="I228" s="10"/>
      <x:c r="J228" s="10"/>
      <x:c r="K228" s="10"/>
    </x:row>
    <x:row r="229" ht="24" customHeight="1">
      <x:c r="A229" s="10"/>
      <x:c r="B229" s="10"/>
      <x:c r="C229" s="10"/>
      <x:c r="D229" s="10"/>
      <x:c r="E229" s="10"/>
      <x:c r="F229" s="10"/>
      <x:c r="G229" s="10"/>
      <x:c r="H229" s="10"/>
      <x:c r="I229" s="10"/>
      <x:c r="J229" s="10"/>
      <x:c r="K229" s="10"/>
    </x:row>
    <x:row r="230" ht="24" customHeight="1">
      <x:c r="A230" s="10"/>
      <x:c r="B230" s="10"/>
      <x:c r="C230" s="10"/>
      <x:c r="D230" s="10"/>
      <x:c r="E230" s="10"/>
      <x:c r="F230" s="10"/>
      <x:c r="G230" s="10"/>
      <x:c r="H230" s="10"/>
      <x:c r="I230" s="10"/>
      <x:c r="J230" s="10"/>
      <x:c r="K230" s="10"/>
    </x:row>
    <x:row r="231" ht="24" customHeight="1">
      <x:c r="A231" s="10"/>
      <x:c r="B231" s="10"/>
      <x:c r="C231" s="10"/>
      <x:c r="D231" s="10"/>
      <x:c r="E231" s="10"/>
      <x:c r="F231" s="10"/>
      <x:c r="G231" s="10"/>
      <x:c r="H231" s="10"/>
      <x:c r="I231" s="10"/>
      <x:c r="J231" s="10"/>
      <x:c r="K231" s="10"/>
    </x:row>
    <x:row r="232" ht="24" customHeight="1">
      <x:c r="A232" s="10"/>
      <x:c r="B232" s="10"/>
      <x:c r="C232" s="10"/>
      <x:c r="D232" s="10"/>
      <x:c r="E232" s="10"/>
      <x:c r="F232" s="10"/>
      <x:c r="G232" s="10"/>
      <x:c r="H232" s="10"/>
      <x:c r="I232" s="10"/>
      <x:c r="J232" s="10"/>
      <x:c r="K232" s="10"/>
    </x:row>
    <x:row r="233" ht="24" customHeight="1">
      <x:c r="A233" s="10"/>
      <x:c r="B233" s="10"/>
      <x:c r="C233" s="10"/>
      <x:c r="D233" s="10"/>
      <x:c r="E233" s="10"/>
      <x:c r="F233" s="10"/>
      <x:c r="G233" s="10"/>
      <x:c r="H233" s="10"/>
      <x:c r="I233" s="10"/>
      <x:c r="J233" s="10"/>
      <x:c r="K233" s="10"/>
    </x:row>
    <x:row r="234" ht="24" customHeight="1">
      <x:c r="A234" s="10"/>
      <x:c r="B234" s="10"/>
      <x:c r="C234" s="10"/>
      <x:c r="D234" s="10"/>
      <x:c r="E234" s="10"/>
      <x:c r="F234" s="10"/>
      <x:c r="G234" s="10"/>
      <x:c r="H234" s="10"/>
      <x:c r="I234" s="10"/>
      <x:c r="J234" s="10"/>
      <x:c r="K234" s="10"/>
    </x:row>
    <x:row r="235" ht="24" customHeight="1">
      <x:c r="A235" s="10"/>
      <x:c r="B235" s="10"/>
      <x:c r="C235" s="10"/>
      <x:c r="D235" s="10"/>
      <x:c r="E235" s="10"/>
      <x:c r="F235" s="10"/>
      <x:c r="G235" s="10"/>
      <x:c r="H235" s="10"/>
      <x:c r="I235" s="10"/>
      <x:c r="J235" s="10"/>
      <x:c r="K235" s="10"/>
    </x:row>
    <x:row r="236" ht="24" customHeight="1">
      <x:c r="A236" s="10"/>
      <x:c r="B236" s="10"/>
      <x:c r="C236" s="10"/>
      <x:c r="D236" s="10"/>
      <x:c r="E236" s="10"/>
      <x:c r="F236" s="10"/>
      <x:c r="G236" s="10"/>
      <x:c r="H236" s="10"/>
      <x:c r="I236" s="10"/>
      <x:c r="J236" s="10"/>
      <x:c r="K236" s="10"/>
    </x:row>
    <x:row r="237" ht="24" customHeight="1">
      <x:c r="A237" s="10"/>
      <x:c r="B237" s="10"/>
      <x:c r="C237" s="10"/>
      <x:c r="D237" s="10"/>
      <x:c r="E237" s="10"/>
      <x:c r="F237" s="10"/>
      <x:c r="G237" s="10"/>
      <x:c r="H237" s="10"/>
      <x:c r="I237" s="10"/>
      <x:c r="J237" s="10"/>
      <x:c r="K237" s="10"/>
    </x:row>
    <x:row r="238" ht="24" customHeight="1">
      <x:c r="A238" s="10"/>
      <x:c r="B238" s="10"/>
      <x:c r="C238" s="10"/>
      <x:c r="D238" s="10"/>
      <x:c r="E238" s="10"/>
      <x:c r="F238" s="10"/>
      <x:c r="G238" s="10"/>
      <x:c r="H238" s="10"/>
      <x:c r="I238" s="10"/>
      <x:c r="J238" s="10"/>
      <x:c r="K238" s="10"/>
    </x:row>
    <x:row r="239" ht="24" customHeight="1">
      <x:c r="A239" s="10"/>
      <x:c r="B239" s="10"/>
      <x:c r="C239" s="10"/>
      <x:c r="D239" s="10"/>
      <x:c r="E239" s="10"/>
      <x:c r="F239" s="10"/>
      <x:c r="G239" s="10"/>
      <x:c r="H239" s="10"/>
      <x:c r="I239" s="10"/>
      <x:c r="J239" s="10"/>
      <x:c r="K239" s="10"/>
    </x:row>
    <x:row r="240" ht="24" customHeight="1">
      <x:c r="A240" s="10"/>
      <x:c r="B240" s="10"/>
      <x:c r="C240" s="10"/>
      <x:c r="D240" s="10"/>
      <x:c r="E240" s="10"/>
      <x:c r="F240" s="10"/>
      <x:c r="G240" s="10"/>
      <x:c r="H240" s="10"/>
      <x:c r="I240" s="10"/>
      <x:c r="J240" s="10"/>
      <x:c r="K240" s="10"/>
    </x:row>
    <x:row r="241" ht="24" customHeight="1">
      <x:c r="A241" s="10"/>
      <x:c r="B241" s="10"/>
      <x:c r="C241" s="10"/>
      <x:c r="D241" s="10"/>
      <x:c r="E241" s="10"/>
      <x:c r="F241" s="10"/>
      <x:c r="G241" s="10"/>
      <x:c r="H241" s="10"/>
      <x:c r="I241" s="10"/>
      <x:c r="J241" s="10"/>
      <x:c r="K241" s="10"/>
    </x:row>
    <x:row r="242" ht="24" customHeight="1">
      <x:c r="A242" s="10"/>
      <x:c r="B242" s="10"/>
      <x:c r="C242" s="10"/>
      <x:c r="D242" s="10"/>
      <x:c r="E242" s="10"/>
      <x:c r="F242" s="10"/>
      <x:c r="G242" s="10"/>
      <x:c r="H242" s="10"/>
      <x:c r="I242" s="10"/>
      <x:c r="J242" s="10"/>
      <x:c r="K242" s="10"/>
    </x:row>
    <x:row r="243" ht="24" customHeight="1">
      <x:c r="A243" s="10"/>
      <x:c r="B243" s="10"/>
      <x:c r="C243" s="10"/>
      <x:c r="D243" s="10"/>
      <x:c r="E243" s="10"/>
      <x:c r="F243" s="10"/>
      <x:c r="G243" s="10"/>
      <x:c r="H243" s="10"/>
      <x:c r="I243" s="10"/>
      <x:c r="J243" s="10"/>
      <x:c r="K243" s="10"/>
    </x:row>
    <x:row r="244" ht="24" customHeight="1">
      <x:c r="A244" s="10"/>
      <x:c r="B244" s="10"/>
      <x:c r="C244" s="10"/>
      <x:c r="D244" s="10"/>
      <x:c r="E244" s="10"/>
      <x:c r="F244" s="10"/>
      <x:c r="G244" s="10"/>
      <x:c r="H244" s="10"/>
      <x:c r="I244" s="10"/>
      <x:c r="J244" s="10"/>
      <x:c r="K244" s="10"/>
    </x:row>
    <x:row r="245" ht="24" customHeight="1">
      <x:c r="A245" s="10"/>
      <x:c r="B245" s="10"/>
      <x:c r="C245" s="10"/>
      <x:c r="D245" s="10"/>
      <x:c r="E245" s="10"/>
      <x:c r="F245" s="10"/>
      <x:c r="G245" s="10"/>
      <x:c r="H245" s="10"/>
      <x:c r="I245" s="10"/>
      <x:c r="J245" s="10"/>
      <x:c r="K245" s="10"/>
    </x:row>
    <x:row r="246" ht="24" customHeight="1">
      <x:c r="A246" s="10"/>
      <x:c r="B246" s="10"/>
      <x:c r="C246" s="10"/>
      <x:c r="D246" s="10"/>
      <x:c r="E246" s="10"/>
      <x:c r="F246" s="10"/>
      <x:c r="G246" s="10"/>
      <x:c r="H246" s="10"/>
      <x:c r="I246" s="10"/>
      <x:c r="J246" s="10"/>
      <x:c r="K246" s="10"/>
    </x:row>
    <x:row r="247" ht="24" customHeight="1">
      <x:c r="A247" s="10"/>
      <x:c r="B247" s="10"/>
      <x:c r="C247" s="10"/>
      <x:c r="D247" s="10"/>
      <x:c r="E247" s="10"/>
      <x:c r="F247" s="10"/>
      <x:c r="G247" s="10"/>
      <x:c r="H247" s="10"/>
      <x:c r="I247" s="10"/>
      <x:c r="J247" s="10"/>
      <x:c r="K247" s="10"/>
    </x:row>
    <x:row r="248" ht="24" customHeight="1">
      <x:c r="A248" s="10"/>
      <x:c r="B248" s="10"/>
      <x:c r="C248" s="10"/>
      <x:c r="D248" s="10"/>
      <x:c r="E248" s="10"/>
      <x:c r="F248" s="10"/>
      <x:c r="G248" s="10"/>
      <x:c r="H248" s="10"/>
      <x:c r="I248" s="10"/>
      <x:c r="J248" s="10"/>
      <x:c r="K248" s="10"/>
    </x:row>
    <x:row r="249" ht="24" customHeight="1">
      <x:c r="A249" s="10"/>
      <x:c r="B249" s="10"/>
      <x:c r="C249" s="10"/>
      <x:c r="D249" s="10"/>
      <x:c r="E249" s="10"/>
      <x:c r="F249" s="10"/>
      <x:c r="G249" s="10"/>
      <x:c r="H249" s="10"/>
      <x:c r="I249" s="10"/>
      <x:c r="J249" s="10"/>
      <x:c r="K249" s="10"/>
    </x:row>
    <x:row r="250" ht="24" customHeight="1">
      <x:c r="A250" s="10"/>
      <x:c r="B250" s="10"/>
      <x:c r="C250" s="10"/>
      <x:c r="D250" s="10"/>
      <x:c r="E250" s="10"/>
      <x:c r="F250" s="10"/>
      <x:c r="G250" s="10"/>
      <x:c r="H250" s="10"/>
      <x:c r="I250" s="10"/>
      <x:c r="J250" s="10"/>
      <x:c r="K250" s="10"/>
    </x:row>
  </x:sheetData>
  <x:mergeCells>
    <x:mergeCell ref="A1:K2"/>
    <x:mergeCell ref="A3:K3"/>
  </x:mergeCells>
  <x:conditionalFormatting sqref="D6:D119">
    <x:cfRule type="expression" dxfId="0" priority="1">
      <x:formula>$D6="Fait"</x:formula>
    </x:cfRule>
    <x:cfRule type="expression" dxfId="1" priority="2">
      <x:formula>$D6="Partiel"</x:formula>
    </x:cfRule>
    <x:cfRule type="expression" dxfId="2" priority="3">
      <x:formula>$D6="À faire"</x:formula>
    </x:cfRule>
    <x:cfRule type="expression" dxfId="3" priority="4">
      <x:formula>$D6="À valider"</x:formula>
    </x:cfRule>
    <x:cfRule type="expression" dxfId="4" priority="5">
      <x:formula>$D6="Bloqué"</x:formula>
    </x:cfRule>
  </x:conditionalFormatting>
  <x:conditionalFormatting sqref="D120:D126">
    <x:cfRule type="expression" dxfId="5" priority="6">
      <x:formula>D120="Fait"</x:formula>
    </x:cfRule>
    <x:cfRule type="expression" dxfId="6" priority="7">
      <x:formula>D120="Partiel"</x:formula>
    </x:cfRule>
    <x:cfRule type="expression" dxfId="7" priority="8">
      <x:formula>D120="À faire"</x:formula>
    </x:cfRule>
    <x:cfRule type="expression" dxfId="8" priority="9">
      <x:formula>D120="À valider"</x:formula>
    </x:cfRule>
    <x:cfRule type="expression" dxfId="9" priority="10">
      <x:formula>D120="Bloqué"</x:formula>
    </x:cfRule>
  </x:conditionalFormatting>
  <x:conditionalFormatting sqref="D138:D141">
    <x:cfRule type="expression" dxfId="10" priority="11">
      <x:formula>D138="Fait"</x:formula>
    </x:cfRule>
    <x:cfRule type="expression" dxfId="11" priority="12">
      <x:formula>D138="Partiel"</x:formula>
    </x:cfRule>
    <x:cfRule type="expression" dxfId="12" priority="13">
      <x:formula>D138="À faire"</x:formula>
    </x:cfRule>
    <x:cfRule type="expression" dxfId="13" priority="14">
      <x:formula>D138="À valider"</x:formula>
    </x:cfRule>
    <x:cfRule type="expression" dxfId="14" priority="15">
      <x:formula>D138="Bloqué"</x:formula>
    </x:cfRule>
  </x:conditionalFormatting>
  <x:dataValidations count="6">
    <x:dataValidation type="list" sqref="C6:C119">
      <x:formula1>"P0,P1,P2"</x:formula1>
    </x:dataValidation>
    <x:dataValidation type="list" sqref="D6:D119">
      <x:formula1>"Fait,Partiel,À faire,À valider,Bloqué"</x:formula1>
    </x:dataValidation>
    <x:dataValidation type="list" sqref="D6:D126">
      <x:formula1>"Fait,Partiel,À faire,À valider,Bloqué"</x:formula1>
    </x:dataValidation>
    <x:dataValidation type="list" sqref="D6:D128">
      <x:formula1>"Fait,Partiel,À faire,À valider,Bloqué"</x:formula1>
    </x:dataValidation>
    <x:dataValidation type="list" sqref="D6:D137">
      <x:formula1>"Fait,Partiel,À faire,À valider,Bloqué"</x:formula1>
    </x:dataValidation>
    <x:dataValidation type="list" sqref="D6:D141">
      <x:formula1>"Fait,Partiel,À faire,À valider,Bloqué"</x:formula1>
    </x:dataValidation>
  </x:dataValidations>
  <x:pageMargins left="0.7" right="0.7" top="0.75" bottom="0.75" header="0.3" footer="0.3"/>
  <x:tableParts count="1">
    <x:tablePart xmlns:r="http://schemas.openxmlformats.org/officeDocument/2006/relationships" r:id="R1afbd7bfb07943a8"/>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26" hidden="0" customWidth="1"/>
    <x:col min="3" max="3" width="52" hidden="0" customWidth="1"/>
    <x:col min="4" max="4" width="42" hidden="0" customWidth="1"/>
    <x:col min="5" max="5" width="46" hidden="0" customWidth="1"/>
    <x:col min="6" max="6" width="48" hidden="0" customWidth="1"/>
  </x:cols>
  <x:sheetData>
    <x:row r="1" ht="24" customHeight="1">
      <x:c r="A1" s="140" t="str">
        <x:v>DIVA PULSE  /  Ce que cette PR apporte</x:v>
      </x:c>
      <x:c r="B1" s="140"/>
      <x:c r="C1" s="140"/>
      <x:c r="D1" s="140"/>
      <x:c r="E1" s="140"/>
      <x:c r="F1" s="140"/>
    </x:row>
    <x:row r="2" ht="24" customHeight="1">
      <x:c r="A2" s="140"/>
      <x:c r="B2" s="140"/>
      <x:c r="C2" s="140"/>
      <x:c r="D2" s="140"/>
      <x:c r="E2" s="140"/>
      <x:c r="F2" s="140"/>
    </x:row>
    <x:row r="3" ht="44" customHeight="1">
      <x:c r="A3" s="18" t="str">
        <x:v>Les éléments partiels restent partiels dans l'onglet Manquants. Aucun ajout de personnage ou de média tiers dans cette livraison.</x:v>
      </x:c>
      <x:c r="B3" s="10"/>
      <x:c r="C3" s="10"/>
      <x:c r="D3" s="10"/>
      <x:c r="E3" s="10"/>
      <x:c r="F3" s="10"/>
    </x:row>
    <x:row r="4" ht="24" customHeight="1">
      <x:c r="A4" s="10"/>
      <x:c r="B4" s="10"/>
      <x:c r="C4" s="10"/>
      <x:c r="D4" s="10"/>
      <x:c r="E4" s="10"/>
      <x:c r="F4" s="10"/>
    </x:row>
    <x:row r="5" ht="32" customHeight="1">
      <x:c r="A5" s="22" t="str">
        <x:v>Référence</x:v>
      </x:c>
      <x:c r="B5" s="22" t="str">
        <x:v>Sujet</x:v>
      </x:c>
      <x:c r="C5" s="22" t="str">
        <x:v>Livraison</x:v>
      </x:c>
      <x:c r="D5" s="22" t="str">
        <x:v>Validation</x:v>
      </x:c>
      <x:c r="E5" s="22" t="str">
        <x:v>Limite</x:v>
      </x:c>
      <x:c r="F5" s="22" t="str">
        <x:v>Source</x:v>
      </x:c>
    </x:row>
    <x:row r="6" ht="108" customHeight="1">
      <x:c r="A6" s="26" t="str">
        <x:v>DIR-08</x:v>
      </x:c>
      <x:c r="B6" s="26" t="str">
        <x:v>Grille musicale</x:v>
      </x:c>
      <x:c r="C6" s="26" t="str">
        <x:v>Temps, subdivisions, triolets et mesures réelles ; tempo variable et deux offsets.</x:v>
      </x:c>
      <x:c r="D6" s="26" t="str">
        <x:v>52 tests logiques ciblés + parcours UI</x:v>
      </x:c>
      <x:c r="E6" s="26" t="str">
        <x:v>Sans suivi continu du rubato.</x:v>
      </x:c>
      <x:c r="F6" s="26" t="str">
        <x:v>https://github.com/darknigthmare/Diva-Pulse/blob/feat/v30-director-workflow/src/director-workflow.js</x:v>
      </x:c>
    </x:row>
    <x:row r="7" ht="108" customHeight="1">
      <x:c r="A7" s="10" t="str">
        <x:v>DIR-11</x:v>
      </x:c>
      <x:c r="B7" s="10" t="str">
        <x:v>Clavier</x:v>
      </x:c>
      <x:c r="C7" s="10" t="str">
        <x:v>Copie/collage, annulation, sélection, suppression, sauvegarde, curseur et aide.</x:v>
      </x:c>
      <x:c r="D7" s="10" t="str">
        <x:v>18 contrôles UI de la nouvelle suite</x:v>
      </x:c>
      <x:c r="E7" s="10" t="str">
        <x:v>Pas de qualification Mac physique.</x:v>
      </x:c>
      <x:c r="F7" s="10" t="str">
        <x:v>https://github.com/darknigthmare/Diva-Pulse/blob/feat/v30-director-workflow/tests/v30_browser_test.py</x:v>
      </x:c>
    </x:row>
    <x:row r="8" ht="108" customHeight="1">
      <x:c r="A8" s="26" t="str">
        <x:v>DIR-13</x:v>
      </x:c>
      <x:c r="B8" s="26" t="str">
        <x:v>Scission sûre</x:v>
      </x:c>
      <x:c r="C8" s="26" t="str">
        <x:v>Coupe multi-danseurs, temps source continu et identifiants distincts.</x:v>
      </x:c>
      <x:c r="D8" s="26" t="str">
        <x:v>Assertions de continuité ; refus immuables</x:v>
      </x:c>
      <x:c r="E8" s="26" t="str">
        <x:v>BPM synchronisé, coupe dans un fondu et fusion non pris en charge.</x:v>
      </x:c>
      <x:c r="F8" s="26" t="str">
        <x:v>https://github.com/darknigthmare/Diva-Pulse/blob/feat/v30-director-workflow/src/director-workflow.js</x:v>
      </x:c>
    </x:row>
    <x:row r="9" ht="108" customHeight="1">
      <x:c r="A9" s="10" t="str">
        <x:v>DIR-14</x:v>
      </x:c>
      <x:c r="B9" s="10" t="str">
        <x:v>Capture pointeur</x:v>
      </x:c>
      <x:c r="C9" s="10" t="str">
        <x:v>Annulation et perte de capture sans publication partielle.</x:v>
      </x:c>
      <x:c r="D9" s="10" t="str">
        <x:v>Souris réelle + pointercancel injecté</x:v>
      </x:c>
      <x:c r="E9" s="10" t="str">
        <x:v>Tactile/stylet physiques non testés.</x:v>
      </x:c>
      <x:c r="F9" s="10" t="str">
        <x:v>https://github.com/darknigthmare/Diva-Pulse/blob/feat/v30-director-workflow/src/director-app.js</x:v>
      </x:c>
    </x:row>
    <x:row r="10" ht="108" customHeight="1">
      <x:c r="A10" s="26" t="str">
        <x:v>DIR-15 / SAV-12</x:v>
      </x:c>
      <x:c r="B10" s="26" t="str">
        <x:v>Récupération</x:v>
      </x:c>
      <x:c r="C10" s="26" t="str">
        <x:v>Sélection/redo remis à zéro ; le retour initial remplace l'ancien brouillon.</x:v>
      </x:c>
      <x:c r="D10" s="26" t="str">
        <x:v>Parcours clavier et reprise</x:v>
      </x:c>
      <x:c r="E10" s="26" t="str">
        <x:v>Nouveau correctif distinct de la transaction V29.</x:v>
      </x:c>
      <x:c r="F10" s="26" t="str">
        <x:v>https://github.com/darknigthmare/Diva-Pulse/blob/feat/v30-director-workflow/tests/v30_browser_test.py</x:v>
      </x:c>
    </x:row>
    <x:row r="11" ht="108" customHeight="1">
      <x:c r="A11" s="10" t="str">
        <x:v>DIR-16</x:v>
      </x:c>
      <x:c r="B11" s="10" t="str">
        <x:v>Import Director</x:v>
      </x:c>
      <x:c r="C11" s="10" t="str">
        <x:v>Schéma 19 et références médias validés avant remplacement.</x:v>
      </x:c>
      <x:c r="D11" s="10" t="str">
        <x:v>Version future refusée en UI</x:v>
      </x:c>
      <x:c r="E11" s="10" t="str">
        <x:v>Autres formats encore à harmoniser.</x:v>
      </x:c>
      <x:c r="F11" s="10" t="str">
        <x:v>https://github.com/darknigthmare/Diva-Pulse/blob/feat/v30-director-workflow/src/director-workflow.js</x:v>
      </x:c>
    </x:row>
    <x:row r="12" ht="108" customHeight="1">
      <x:c r="A12" s="26" t="str">
        <x:v>PUB-10</x:v>
      </x:c>
      <x:c r="B12" s="26" t="str">
        <x:v>CI de revue</x:v>
      </x:c>
      <x:c r="C12" s="26" t="str">
        <x:v>Vérification en lecture seule ; anciens autopublishers retirés.</x:v>
      </x:c>
      <x:c r="D12" s="26" t="str">
        <x:v>Inspection des workflows + run de PR</x:v>
      </x:c>
      <x:c r="E12" s="26" t="str">
        <x:v>Protection obligatoire de branche non configurée.</x:v>
      </x:c>
      <x:c r="F12" s="26" t="str">
        <x:v>https://github.com/darknigthmare/Diva-Pulse/blob/feat/v30-director-workflow/.github/workflows/quality.yml</x:v>
      </x:c>
    </x:row>
    <x:row r="13" ht="108" customHeight="1">
      <x:c r="A13" s="10" t="str">
        <x:v>PUB-02</x:v>
      </x:c>
      <x:c r="B13" s="10" t="str">
        <x:v>Suivi de projet</x:v>
      </x:c>
      <x:c r="C13" s="10" t="str">
        <x:v>114 tâches réconciliées ; Excel, JSON et CSV dans la PR.</x:v>
      </x:c>
      <x:c r="D13" s="10" t="str">
        <x:v>Contrôles du classeur et empreinte de livraison</x:v>
      </x:c>
      <x:c r="E13" s="10" t="str">
        <x:v>Ne mesure pas la finition commerciale.</x:v>
      </x:c>
      <x:c r="F13" s="10" t="str">
        <x:v>https://github.com/darknigthmare/Diva-Pulse/pull/1</x:v>
      </x:c>
    </x:row>
    <x:row r="14" ht="24" customHeight="1">
      <x:c r="A14" s="10"/>
      <x:c r="B14" s="10"/>
      <x:c r="C14" s="10"/>
      <x:c r="D14" s="10"/>
      <x:c r="E14" s="10"/>
      <x:c r="F14" s="10"/>
    </x:row>
    <x:row r="15" ht="24" customHeight="1">
      <x:c r="A15" s="10"/>
      <x:c r="B15" s="10"/>
      <x:c r="C15" s="10"/>
      <x:c r="D15" s="10"/>
      <x:c r="E15" s="10"/>
      <x:c r="F15" s="10"/>
    </x:row>
    <x:row r="16" ht="24" customHeight="1">
      <x:c r="A16" s="10"/>
      <x:c r="B16" s="10"/>
      <x:c r="C16" s="10"/>
      <x:c r="D16" s="10"/>
      <x:c r="E16" s="10"/>
      <x:c r="F16" s="10"/>
    </x:row>
    <x:row r="17" ht="24" customHeight="1">
      <x:c r="A17" s="10"/>
      <x:c r="B17" s="10"/>
      <x:c r="C17" s="10"/>
      <x:c r="D17" s="10"/>
      <x:c r="E17" s="10"/>
      <x:c r="F17" s="10"/>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fa710423ae974174"/>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28" hidden="0" customWidth="1"/>
    <x:col min="3" max="3" width="14" hidden="0" customWidth="1"/>
    <x:col min="4" max="4" width="14" hidden="0" customWidth="1"/>
    <x:col min="5" max="5" width="29" hidden="0" customWidth="1"/>
    <x:col min="6" max="6" width="58" hidden="0" customWidth="1"/>
    <x:col min="7" max="7" width="55" hidden="0" customWidth="1"/>
  </x:cols>
  <x:sheetData>
    <x:row r="1" ht="24" customHeight="1">
      <x:c r="A1" s="140" t="str">
        <x:v>DIVA PULSE  /  Preuves et portée des tests</x:v>
      </x:c>
      <x:c r="B1" s="140"/>
      <x:c r="C1" s="140"/>
      <x:c r="D1" s="140"/>
      <x:c r="E1" s="140"/>
      <x:c r="F1" s="140"/>
      <x:c r="G1" s="140"/>
    </x:row>
    <x:row r="2" ht="24" customHeight="1">
      <x:c r="A2" s="140"/>
      <x:c r="B2" s="140"/>
      <x:c r="C2" s="140"/>
      <x:c r="D2" s="140"/>
      <x:c r="E2" s="140"/>
      <x:c r="F2" s="140"/>
      <x:c r="G2" s="140"/>
    </x:row>
    <x:row r="3" ht="44" customHeight="1">
      <x:c r="A3" s="18" t="str">
        <x:v>Résultats locaux et historiques séparés. Pour les exécutions distantes, consulter le commit et l'empreinte de build associés au run de la PR.</x:v>
      </x:c>
      <x:c r="B3" s="10"/>
      <x:c r="C3" s="10"/>
      <x:c r="D3" s="10"/>
      <x:c r="E3" s="10"/>
      <x:c r="F3" s="10"/>
      <x:c r="G3" s="10"/>
    </x:row>
    <x:row r="4" ht="24" customHeight="1">
      <x:c r="A4" s="10"/>
      <x:c r="B4" s="10"/>
      <x:c r="C4" s="10"/>
      <x:c r="D4" s="10"/>
      <x:c r="E4" s="10"/>
      <x:c r="F4" s="10"/>
      <x:c r="G4" s="10"/>
    </x:row>
    <x:row r="5" ht="32" customHeight="1">
      <x:c r="A5" s="22" t="str">
        <x:v>Suite</x:v>
      </x:c>
      <x:c r="B5" s="22" t="str">
        <x:v>Résultat</x:v>
      </x:c>
      <x:c r="C5" s="22" t="str">
        <x:v>Réussites</x:v>
      </x:c>
      <x:c r="D5" s="22" t="str">
        <x:v>Échecs</x:v>
      </x:c>
      <x:c r="E5" s="22" t="str">
        <x:v>Banc</x:v>
      </x:c>
      <x:c r="F5" s="22" t="str">
        <x:v>Portée / exclusions</x:v>
      </x:c>
      <x:c r="G5" s="22" t="str">
        <x:v>Preuve</x:v>
      </x:c>
    </x:row>
    <x:row r="6" ht="108" customHeight="1">
      <x:c r="A6" s="26" t="str">
        <x:v>Suite logique complète</x:v>
      </x:c>
      <x:c r="B6" s="26" t="str">
        <x:v>Réussi local</x:v>
      </x:c>
      <x:c r="C6" s="26" t="n">
        <x:v>862</x:v>
      </x:c>
      <x:c r="D6" s="26" t="n">
        <x:v>0</x:v>
      </x:c>
      <x:c r="E6" s="26" t="str">
        <x:v>Node 22</x:v>
      </x:c>
      <x:c r="F6" s="26" t="str">
        <x:v>Inclut les 52 nouveaux tests ; 0 ignoré.</x:v>
      </x:c>
      <x:c r="G6" s="26" t="str">
        <x:v>https://github.com/darknigthmare/Diva-Pulse/blob/feat/v30-director-workflow/qa/v30/logic.tap</x:v>
      </x:c>
    </x:row>
    <x:row r="7" ht="108" customHeight="1">
      <x:c r="A7" s="10" t="str">
        <x:v>Nouveaux cas V30</x:v>
      </x:c>
      <x:c r="B7" s="10" t="str">
        <x:v>Réussi local</x:v>
      </x:c>
      <x:c r="C7" s="10" t="n">
        <x:v>52</x:v>
      </x:c>
      <x:c r="D7" s="10" t="n">
        <x:v>0</x:v>
      </x:c>
      <x:c r="E7" s="10" t="str">
        <x:v>Node 22</x:v>
      </x:c>
      <x:c r="F7" s="10" t="str">
        <x:v>Ne pas additionner aux 862 ; corpus déterministe de 300 points inclus dans une assertion.</x:v>
      </x:c>
      <x:c r="G7" s="10" t="str">
        <x:v>https://github.com/darknigthmare/Diva-Pulse/blob/feat/v30-director-workflow/qa/v30/new-logic.tap</x:v>
      </x:c>
    </x:row>
    <x:row r="8" ht="108" customHeight="1">
      <x:c r="A8" s="26" t="str">
        <x:v>Lanceur</x:v>
      </x:c>
      <x:c r="B8" s="26" t="str">
        <x:v>Réussi local</x:v>
      </x:c>
      <x:c r="C8" s="26" t="n">
        <x:v>10</x:v>
      </x:c>
      <x:c r="D8" s="26" t="n">
        <x:v>0</x:v>
      </x:c>
      <x:c r="E8" s="26" t="str">
        <x:v>Python</x:v>
      </x:c>
      <x:c r="F8" s="26" t="str">
        <x:v>Ports, collision et démarrage ; pas un installateur signé.</x:v>
      </x:c>
      <x:c r="G8" s="26" t="str">
        <x:v>https://github.com/darknigthmare/Diva-Pulse/blob/feat/v30-director-workflow/qa/v30/launcher.txt</x:v>
      </x:c>
    </x:row>
    <x:row r="9" ht="108" customHeight="1">
      <x:c r="A9" s="10" t="str">
        <x:v>Parcours Director V29 sur V30</x:v>
      </x:c>
      <x:c r="B9" s="10" t="str">
        <x:v>Réussi local</x:v>
      </x:c>
      <x:c r="C9" s="10" t="n">
        <x:v>23</x:v>
      </x:c>
      <x:c r="D9" s="10" t="n">
        <x:v>0</x:v>
      </x:c>
      <x:c r="E9" s="10" t="str">
        <x:v>Chromium / SwiftShader</x:v>
      </x:c>
      <x:c r="F9" s="10" t="str">
        <x:v>Document injecté : stockage temporaire ; import PMX/VMD réel.</x:v>
      </x:c>
      <x:c r="G9" s="10" t="str">
        <x:v>https://github.com/darknigthmare/Diva-Pulse/blob/feat/v30-director-workflow/qa/v30/regression-director/results.json</x:v>
      </x:c>
    </x:row>
    <x:row r="10" ht="108" customHeight="1">
      <x:c r="A10" s="26" t="str">
        <x:v>Nouveau parcours V30</x:v>
      </x:c>
      <x:c r="B10" s="26" t="str">
        <x:v>Réussi local</x:v>
      </x:c>
      <x:c r="C10" s="26" t="n">
        <x:v>18</x:v>
      </x:c>
      <x:c r="D10" s="26" t="n">
        <x:v>0</x:v>
      </x:c>
      <x:c r="E10" s="26" t="str">
        <x:v>Chromium / SwiftShader</x:v>
      </x:c>
      <x:c r="F10" s="26" t="str">
        <x:v>Clavier/souris réels ; document injecté à cause du blocage localhost du banc local.</x:v>
      </x:c>
      <x:c r="G10" s="26" t="str">
        <x:v>https://github.com/darknigthmare/Diva-Pulse/blob/feat/v30-director-workflow/qa/v30/workflow/results.json</x:v>
      </x:c>
    </x:row>
    <x:row r="11" ht="108" customHeight="1">
      <x:c r="A11" s="10" t="str">
        <x:v>Persistance native V29</x:v>
      </x:c>
      <x:c r="B11" s="10" t="str">
        <x:v>Historique distant vérifié</x:v>
      </x:c>
      <x:c r="C11" s="10" t="n">
        <x:v>14</x:v>
      </x:c>
      <x:c r="D11" s="10" t="n">
        <x:v>0</x:v>
      </x:c>
      <x:c r="E11" s="10" t="str">
        <x:v>GitHub Actions / Chromium</x:v>
      </x:c>
      <x:c r="F11" s="10" t="str">
        <x:v>Fermeture/réouverture, Web Locks et offline ; preuve sur la base V29, pas le résultat natif V30.</x:v>
      </x:c>
      <x:c r="G11" s="10" t="str">
        <x:v>https://github.com/darknigthmare/Diva-Pulse/blob/1552fd8f89a27f0914a203f2d973b3beee17f4e5/qa/v29/persistence/results.json</x:v>
      </x:c>
    </x:row>
    <x:row r="12" ht="108" customHeight="1">
      <x:c r="A12" s="26" t="str">
        <x:v>CI V30 de la PR</x:v>
      </x:c>
      <x:c r="B12" s="26" t="str">
        <x:v>Voir le run lié à la PR</x:v>
      </x:c>
      <x:c r="C12" s="26"/>
      <x:c r="D12" s="26"/>
      <x:c r="E12" s="26" t="str">
        <x:v>GitHub Actions</x:v>
      </x:c>
      <x:c r="F12" s="26" t="str">
        <x:v>Même origine HTTP + IndexedDB, suite complète, deux parcours et persistance ; verdict distant consultable dans les checks de la PR.</x:v>
      </x:c>
      <x:c r="G12" s="26" t="str">
        <x:v>https://github.com/darknigthmare/Diva-Pulse/pull/1/checks</x:v>
      </x:c>
    </x:row>
    <x:row r="13" ht="108" customHeight="1">
      <x:c r="A13" s="10" t="str">
        <x:v>Appareils physiques</x:v>
      </x:c>
      <x:c r="B13" s="10" t="str">
        <x:v>À valider</x:v>
      </x:c>
      <x:c r="C13" s="10"/>
      <x:c r="D13" s="10"/>
      <x:c r="E13" s="10" t="str">
        <x:v>iPhone / Android / manettes</x:v>
      </x:c>
      <x:c r="F13" s="10" t="str">
        <x:v>Un viewport de 390 px n'est pas un test sur téléphone réel.</x:v>
      </x:c>
      <x:c r="G13" s="10" t="str">
        <x:v>https://github.com/darknigthmare/Diva-Pulse/pull/1</x:v>
      </x:c>
    </x:row>
    <x:row r="14" ht="108" customHeight="1">
      <x:c r="A14" s="26" t="str">
        <x:v>Navigateurs supplémentaires</x:v>
      </x:c>
      <x:c r="B14" s="26" t="str">
        <x:v>À valider</x:v>
      </x:c>
      <x:c r="C14" s="26"/>
      <x:c r="D14" s="26"/>
      <x:c r="E14" s="26" t="str">
        <x:v>Safari / Firefox</x:v>
      </x:c>
      <x:c r="F14" s="26" t="str">
        <x:v>Ne pas assimiler Chromium/SwiftShader à tous les navigateurs/GPU.</x:v>
      </x:c>
      <x:c r="G14" s="26" t="str">
        <x:v>https://github.com/darknigthmare/Diva-Pulse/pull/1</x:v>
      </x:c>
    </x:row>
    <x:row r="15" ht="24" customHeight="1">
      <x:c r="A15" s="10"/>
      <x:c r="B15" s="10"/>
      <x:c r="C15" s="10"/>
      <x:c r="D15" s="10"/>
      <x:c r="E15" s="10"/>
      <x:c r="F15" s="10"/>
      <x:c r="G15" s="10"/>
    </x:row>
    <x:row r="16" ht="24" customHeight="1">
      <x:c r="A16" s="10"/>
      <x:c r="B16" s="10"/>
      <x:c r="C16" s="10"/>
      <x:c r="D16" s="10"/>
      <x:c r="E16" s="10"/>
      <x:c r="F16" s="10"/>
      <x:c r="G16" s="10"/>
    </x:row>
    <x:row r="17" ht="24" customHeight="1">
      <x:c r="A17" s="10"/>
      <x:c r="B17" s="10"/>
      <x:c r="C17" s="10"/>
      <x:c r="D17" s="10"/>
      <x:c r="E17" s="10"/>
      <x:c r="F17" s="10"/>
      <x:c r="G17" s="10"/>
    </x:row>
    <x:row r="18" ht="24" customHeight="1">
      <x:c r="A18" s="10"/>
      <x:c r="B18" s="10"/>
      <x:c r="C18" s="10"/>
      <x:c r="D18" s="10"/>
      <x:c r="E18" s="10"/>
      <x:c r="F18" s="10"/>
      <x:c r="G18" s="10"/>
    </x:row>
    <x:row r="19" ht="24" customHeight="1">
      <x:c r="A19" s="10"/>
      <x:c r="B19" s="10"/>
      <x:c r="C19" s="10"/>
      <x:c r="D19" s="10"/>
      <x:c r="E19" s="10"/>
      <x:c r="F19" s="10"/>
      <x:c r="G19" s="10"/>
    </x:row>
    <x:row r="20" ht="24" customHeight="1">
      <x:c r="A20" s="10"/>
      <x:c r="B20" s="10"/>
      <x:c r="C20" s="10"/>
      <x:c r="D20" s="10"/>
      <x:c r="E20" s="10"/>
      <x:c r="F20" s="10"/>
      <x:c r="G20" s="10"/>
    </x:row>
    <x:row r="21" ht="24" customHeight="1">
      <x:c r="A21" s="10"/>
      <x:c r="B21" s="10"/>
      <x:c r="C21" s="10"/>
      <x:c r="D21" s="10"/>
      <x:c r="E21" s="10"/>
      <x:c r="F21" s="10"/>
      <x:c r="G21" s="10"/>
    </x:row>
    <x:row r="22" ht="24" customHeight="1">
      <x:c r="A22" s="10"/>
      <x:c r="B22" s="10"/>
      <x:c r="C22" s="10"/>
      <x:c r="D22" s="10"/>
      <x:c r="E22" s="10"/>
      <x:c r="F22" s="10"/>
      <x:c r="G22" s="10"/>
    </x:row>
    <x:row r="23" ht="24" customHeight="1">
      <x:c r="A23" s="10"/>
      <x:c r="B23" s="10"/>
      <x:c r="C23" s="10"/>
      <x:c r="D23" s="10"/>
      <x:c r="E23" s="10"/>
      <x:c r="F23" s="10"/>
      <x:c r="G23" s="10"/>
    </x:row>
    <x:row r="24" ht="24" customHeight="1">
      <x:c r="A24" s="10"/>
      <x:c r="B24" s="10"/>
      <x:c r="C24" s="10"/>
      <x:c r="D24" s="10"/>
      <x:c r="E24" s="10"/>
      <x:c r="F24" s="10"/>
      <x:c r="G24" s="10"/>
    </x:row>
    <x:row r="25" ht="24" customHeight="1">
      <x:c r="A25" s="10"/>
      <x:c r="B25" s="10"/>
      <x:c r="C25" s="10"/>
      <x:c r="D25" s="10"/>
      <x:c r="E25" s="10"/>
      <x:c r="F25" s="10"/>
      <x:c r="G25" s="10"/>
    </x:row>
    <x:row r="26" ht="24" customHeight="1">
      <x:c r="A26" s="10"/>
      <x:c r="B26" s="10"/>
      <x:c r="C26" s="10"/>
      <x:c r="D26" s="10"/>
      <x:c r="E26" s="10"/>
      <x:c r="F26" s="10"/>
      <x:c r="G26" s="10"/>
    </x:row>
    <x:row r="27" ht="24" customHeight="1">
      <x:c r="A27" s="10"/>
      <x:c r="B27" s="10"/>
      <x:c r="C27" s="10"/>
      <x:c r="D27" s="10"/>
      <x:c r="E27" s="10"/>
      <x:c r="F27" s="10"/>
      <x:c r="G27" s="10"/>
    </x:row>
    <x:row r="28" ht="24" customHeight="1">
      <x:c r="A28" s="10"/>
      <x:c r="B28" s="10"/>
      <x:c r="C28" s="10"/>
      <x:c r="D28" s="10"/>
      <x:c r="E28" s="10"/>
      <x:c r="F28" s="10"/>
      <x:c r="G28" s="10"/>
    </x:row>
    <x:row r="29" ht="24" customHeight="1">
      <x:c r="A29" s="10"/>
      <x:c r="B29" s="10"/>
      <x:c r="C29" s="10"/>
      <x:c r="D29" s="10"/>
      <x:c r="E29" s="10"/>
      <x:c r="F29" s="10"/>
      <x:c r="G29" s="10"/>
    </x:row>
    <x:row r="30" ht="24" customHeight="1">
      <x:c r="A30" s="10"/>
      <x:c r="B30" s="10"/>
      <x:c r="C30" s="10"/>
      <x:c r="D30" s="10"/>
      <x:c r="E30" s="10"/>
      <x:c r="F30" s="10"/>
      <x:c r="G30" s="10"/>
    </x:row>
    <x:row r="31" ht="24" customHeight="1">
      <x:c r="A31" s="10"/>
      <x:c r="B31" s="10"/>
      <x:c r="C31" s="10"/>
      <x:c r="D31" s="10"/>
      <x:c r="E31" s="10"/>
      <x:c r="F31" s="10"/>
      <x:c r="G31" s="10"/>
    </x:row>
    <x:row r="32" ht="24" customHeight="1">
      <x:c r="A32" s="10"/>
      <x:c r="B32" s="10"/>
      <x:c r="C32" s="10"/>
      <x:c r="D32" s="10"/>
      <x:c r="E32" s="10"/>
      <x:c r="F32" s="10"/>
      <x:c r="G32" s="10"/>
    </x:row>
    <x:row r="33" ht="24" customHeight="1">
      <x:c r="A33" s="10"/>
      <x:c r="B33" s="10"/>
      <x:c r="C33" s="10"/>
      <x:c r="D33" s="10"/>
      <x:c r="E33" s="10"/>
      <x:c r="F33" s="10"/>
      <x:c r="G33" s="10"/>
    </x:row>
    <x:row r="34" ht="24" customHeight="1">
      <x:c r="A34" s="10"/>
      <x:c r="B34" s="10"/>
      <x:c r="C34" s="10"/>
      <x:c r="D34" s="10"/>
      <x:c r="E34" s="10"/>
      <x:c r="F34" s="10"/>
      <x:c r="G34" s="10"/>
    </x:row>
    <x:row r="35" ht="24" customHeight="1">
      <x:c r="A35" s="10"/>
      <x:c r="B35" s="10"/>
      <x:c r="C35" s="10"/>
      <x:c r="D35" s="10"/>
      <x:c r="E35" s="10"/>
      <x:c r="F35" s="10"/>
      <x:c r="G35" s="10"/>
    </x:row>
    <x:row r="36" ht="24" customHeight="1">
      <x:c r="A36" s="10"/>
      <x:c r="B36" s="10"/>
      <x:c r="C36" s="10"/>
      <x:c r="D36" s="10"/>
      <x:c r="E36" s="10"/>
      <x:c r="F36" s="10"/>
      <x:c r="G36" s="10"/>
    </x:row>
    <x:row r="37" ht="24" customHeight="1">
      <x:c r="A37" s="10"/>
      <x:c r="B37" s="10"/>
      <x:c r="C37" s="10"/>
      <x:c r="D37" s="10"/>
      <x:c r="E37" s="10"/>
      <x:c r="F37" s="10"/>
      <x:c r="G37" s="10"/>
    </x:row>
    <x:row r="38" ht="24" customHeight="1">
      <x:c r="A38" s="10"/>
      <x:c r="B38" s="10"/>
      <x:c r="C38" s="10"/>
      <x:c r="D38" s="10"/>
      <x:c r="E38" s="10"/>
      <x:c r="F38" s="10"/>
      <x:c r="G38" s="10"/>
    </x:row>
    <x:row r="39" ht="24" customHeight="1">
      <x:c r="A39" s="10"/>
      <x:c r="B39" s="10"/>
      <x:c r="C39" s="10"/>
      <x:c r="D39" s="10"/>
      <x:c r="E39" s="10"/>
      <x:c r="F39" s="10"/>
      <x:c r="G39" s="10"/>
    </x:row>
    <x:row r="40" ht="24" customHeight="1">
      <x:c r="A40" s="10"/>
      <x:c r="B40" s="10"/>
      <x:c r="C40" s="10"/>
      <x:c r="D40" s="10"/>
      <x:c r="E40" s="10"/>
      <x:c r="F40" s="10"/>
      <x:c r="G40" s="10"/>
    </x:row>
    <x:row r="41" ht="24" customHeight="1">
      <x:c r="A41" s="10"/>
      <x:c r="B41" s="10"/>
      <x:c r="C41" s="10"/>
      <x:c r="D41" s="10"/>
      <x:c r="E41" s="10"/>
      <x:c r="F41" s="10"/>
      <x:c r="G41" s="10"/>
    </x:row>
    <x:row r="42" ht="24" customHeight="1">
      <x:c r="A42" s="10"/>
      <x:c r="B42" s="10"/>
      <x:c r="C42" s="10"/>
      <x:c r="D42" s="10"/>
      <x:c r="E42" s="10"/>
      <x:c r="F42" s="10"/>
      <x:c r="G42" s="10"/>
    </x:row>
    <x:row r="43" ht="24" customHeight="1">
      <x:c r="A43" s="10"/>
      <x:c r="B43" s="10"/>
      <x:c r="C43" s="10"/>
      <x:c r="D43" s="10"/>
      <x:c r="E43" s="10"/>
      <x:c r="F43" s="10"/>
      <x:c r="G43" s="10"/>
    </x:row>
    <x:row r="44" ht="24" customHeight="1">
      <x:c r="A44" s="10"/>
      <x:c r="B44" s="10"/>
      <x:c r="C44" s="10"/>
      <x:c r="D44" s="10"/>
      <x:c r="E44" s="10"/>
      <x:c r="F44" s="10"/>
      <x:c r="G44" s="10"/>
    </x:row>
    <x:row r="45" ht="24" customHeight="1">
      <x:c r="A45" s="10"/>
      <x:c r="B45" s="10"/>
      <x:c r="C45" s="10"/>
      <x:c r="D45" s="10"/>
      <x:c r="E45" s="10"/>
      <x:c r="F45" s="10"/>
      <x:c r="G45" s="10"/>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ab9f699a79a84df3"/>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24" hidden="0" customWidth="1"/>
    <x:col min="3" max="3" width="44" hidden="0" customWidth="1"/>
    <x:col min="4" max="4" width="46" hidden="0" customWidth="1"/>
    <x:col min="5" max="5" width="42" hidden="0" customWidth="1"/>
    <x:col min="6" max="6" width="46" hidden="0" customWidth="1"/>
  </x:cols>
  <x:sheetData>
    <x:row r="1" ht="24" customHeight="1">
      <x:c r="A1" s="140" t="str">
        <x:v>MMD / compatibilité à qualifier</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Fonction</x:v>
      </x:c>
      <x:c r="B5" s="22" t="str">
        <x:v>État / portée</x:v>
      </x:c>
      <x:c r="C5" s="22" t="str">
        <x:v>Constat vérifiable</x:v>
      </x:c>
      <x:c r="D5" s="22" t="str">
        <x:v>Suivi associé</x:v>
      </x:c>
      <x:c r="E5" s="22" t="str">
        <x:v>Preuve locale</x:v>
      </x:c>
      <x:c r="F5" s="22" t="str">
        <x:v>Validation ou développement restant</x:v>
      </x:c>
    </x:row>
    <x:row r="6" ht="108" customHeight="1">
      <x:c r="A6" s="26" t="str">
        <x:v>PMX / PMD</x:v>
      </x:c>
      <x:c r="B6" s="26" t="str">
        <x:v>Import et rendu présents</x:v>
      </x:c>
      <x:c r="C6" s="26" t="str">
        <x:v>Corpus synthétique et parcours d’import ; compatibilité universelle non certifiée.</x:v>
      </x:c>
      <x:c r="D6" s="26" t="str">
        <x:v>MMD-01..16 / ANI-01..12</x:v>
      </x:c>
      <x:c r="E6" s="26" t="str">
        <x:v>src/mmd-core.js ; src/mmd-compat.js ; AUDIT_V28.json</x:v>
      </x:c>
      <x:c r="F6" s="26" t="str">
        <x:v>Ajouter un corpus de modèles autorisés, variés et documentés.</x:v>
      </x:c>
    </x:row>
    <x:row r="7" ht="108" customHeight="1">
      <x:c r="A7" s="10" t="str">
        <x:v>VMD / VPD</x:v>
      </x:c>
      <x:c r="B7" s="10" t="str">
        <x:v>Motions et poses présentes</x:v>
      </x:c>
      <x:c r="C7" s="10" t="str">
        <x:v>Le rendu et les transformations sont exercés sur des fichiers de diagnostic.</x:v>
      </x:c>
      <x:c r="D7" s="10" t="str">
        <x:v>MMD-01..16 / ANI-01..12</x:v>
      </x:c>
      <x:c r="E7" s="10" t="str">
        <x:v>tests/assets ; examples/v27 ; qa/v29/regressions/native-mmd.log</x:v>
      </x:c>
      <x:c r="F7" s="10" t="str">
        <x:v>Qualifier encodages, noms d’os, caméras et pistes atypiques.</x:v>
      </x:c>
    </x:row>
    <x:row r="8" ht="108" customHeight="1">
      <x:c r="A8" s="26" t="str">
        <x:v>SDEF</x:v>
      </x:c>
      <x:c r="B8" s="26" t="str">
        <x:v>Implémenté, portée limitée</x:v>
      </x:c>
      <x:c r="C8" s="26" t="str">
        <x:v>Chemin CPU/GLSL présent, références synthétiques ; pas de certification de tout rig.</x:v>
      </x:c>
      <x:c r="D8" s="26" t="str">
        <x:v>MMD-01..16 / ANI-01..12</x:v>
      </x:c>
      <x:c r="E8" s="26" t="str">
        <x:v>AUDIT_V28.json A13 ; src/skinning.js</x:v>
      </x:c>
      <x:c r="F8" s="26" t="str">
        <x:v>Comparer visuellement plusieurs modèles réels et déformations extrêmes.</x:v>
      </x:c>
    </x:row>
    <x:row r="9" ht="108" customHeight="1">
      <x:c r="A9" s="10" t="str">
        <x:v>QDEF</x:v>
      </x:c>
      <x:c r="B9" s="10" t="str">
        <x:v>Implémenté, portée limitée</x:v>
      </x:c>
      <x:c r="C9" s="10" t="str">
        <x:v>Quatre influences et dual quaternions ; échelles non rigides restent distinctes.</x:v>
      </x:c>
      <x:c r="D9" s="10" t="str">
        <x:v>MMD-01..16 / ANI-01..12</x:v>
      </x:c>
      <x:c r="E9" s="10" t="str">
        <x:v>AUDIT_V28.json A14 ; src/skinning.js</x:v>
      </x:c>
      <x:c r="F9" s="10" t="str">
        <x:v>Vérifier torsions, héritages et cas limites sur corpus réel.</x:v>
      </x:c>
    </x:row>
    <x:row r="10" ht="108" customHeight="1">
      <x:c r="A10" s="26" t="str">
        <x:v>Héritages / IK</x:v>
      </x:c>
      <x:c r="B10" s="26" t="str">
        <x:v>Partiel</x:v>
      </x:c>
      <x:c r="C10" s="26" t="str">
        <x:v>Héritages standards et limites ; combinaisons complexes et après physique ouvertes.</x:v>
      </x:c>
      <x:c r="D10" s="26" t="str">
        <x:v>MMD-01..16 / ANI-01..12</x:v>
      </x:c>
      <x:c r="E10" s="26" t="str">
        <x:v>AUDIT_V28.json A22 ; src/skeleton.js</x:v>
      </x:c>
      <x:c r="F10" s="26" t="str">
        <x:v>Étendre et référencer axes, héritages locaux, ordres de calcul.</x:v>
      </x:c>
    </x:row>
    <x:row r="11" ht="108" customHeight="1">
      <x:c r="A11" s="10" t="str">
        <x:v>Physique secondaire native</x:v>
      </x:c>
      <x:c r="B11" s="10" t="str">
        <x:v>Expérimentale</x:v>
      </x:c>
      <x:c r="C11" s="10" t="str">
        <x:v>Rendu, pause, reprise, panne isolée et brouillons testés avec pendule de diagnostic.</x:v>
      </x:c>
      <x:c r="D11" s="10" t="str">
        <x:v>MMD-01..16 / ANI-01..12</x:v>
      </x:c>
      <x:c r="E11" s="10" t="str">
        <x:v>qa/v29/regression-physics-recovery ; qa/v29/regression-playback</x:v>
      </x:c>
      <x:c r="F11" s="10" t="str">
        <x:v>Qualifier collisions, stabilité et performances sur de vrais modèles.</x:v>
      </x:c>
    </x:row>
    <x:row r="12" ht="108" customHeight="1">
      <x:c r="A12" s="26" t="str">
        <x:v>Bullet</x:v>
      </x:c>
      <x:c r="B12" s="26" t="str">
        <x:v>Non intégré</x:v>
      </x:c>
      <x:c r="C12" s="26" t="str">
        <x:v>Le solveur natif n’est pas Bullet et ne garantit pas sa fidélité.</x:v>
      </x:c>
      <x:c r="D12" s="26" t="str">
        <x:v>MMD-01..16 / ANI-01..12</x:v>
      </x:c>
      <x:c r="E12" s="26" t="str">
        <x:v>AUDIT_V28.json A21</x:v>
      </x:c>
      <x:c r="F12" s="26" t="str">
        <x:v>Choisir et intégrer un moteur, puis confronter les résultats.</x:v>
      </x:c>
    </x:row>
    <x:row r="13" ht="108" customHeight="1">
      <x:c r="A13" s="10" t="str">
        <x:v>Corps souples / tissu</x:v>
      </x:c>
      <x:c r="B13" s="10" t="str">
        <x:v>Absent</x:v>
      </x:c>
      <x:c r="C13" s="10" t="str">
        <x:v>Pas de simulation complète de vêtements ou de tissu.</x:v>
      </x:c>
      <x:c r="D13" s="10" t="str">
        <x:v>MMD-01..16 / ANI-01..12</x:v>
      </x:c>
      <x:c r="E13" s="10" t="str">
        <x:v>AUDIT_V28.json A21</x:v>
      </x:c>
      <x:c r="F13" s="10" t="str">
        <x:v>Implémentation spécifique, réglages, limites et budgets.</x:v>
      </x:c>
    </x:row>
    <x:row r="14" ht="108" customHeight="1">
      <x:c r="A14" s="26" t="str">
        <x:v>Matériaux / MME</x:v>
      </x:c>
      <x:c r="B14" s="26" t="str">
        <x:v>Partiel / non exhaustif</x:v>
      </x:c>
      <x:c r="C14" s="26" t="str">
        <x:v>Pas de prise en charge de toute la chaîne d’effets MME.</x:v>
      </x:c>
      <x:c r="D14" s="26" t="str">
        <x:v>MMD-01..16 / ANI-01..12</x:v>
      </x:c>
      <x:c r="E14" s="26" t="str">
        <x:v>AUDIT_V28.json A23 ; src/mmd-surface.js</x:v>
      </x:c>
      <x:c r="F14" s="26" t="str">
        <x:v>Matrice par fonction et captures de référence.</x:v>
      </x:c>
    </x:row>
    <x:row r="15" ht="108" customHeight="1">
      <x:c r="A15" s="10" t="str">
        <x:v>Retargeting universel</x:v>
      </x:c>
      <x:c r="B15" s="10" t="str">
        <x:v>Non disponible</x:v>
      </x:c>
      <x:c r="C15" s="10" t="str">
        <x:v>Une motion ne peut pas être présumée compatible avec tout modèle téléchargé.</x:v>
      </x:c>
      <x:c r="D15" s="10" t="str">
        <x:v>MMD-01..16 / ANI-01..12</x:v>
      </x:c>
      <x:c r="E15" s="10" t="str">
        <x:v>AUDIT_V28.json A26</x:v>
      </x:c>
      <x:c r="F15" s="10" t="str">
        <x:v>Mapping, proportions, pose de repos, contacts et root motion.</x:v>
      </x:c>
    </x:row>
    <x:row r="16" ht="108" customHeight="1">
      <x:c r="A16" s="26" t="str">
        <x:v>Lèvres / expressions</x:v>
      </x:c>
      <x:c r="B16" s="26" t="str">
        <x:v>Partiel</x:v>
      </x:c>
      <x:c r="C16" s="26" t="str">
        <x:v>Piste faciale et enveloppe audio ; vrais visèmes phonétiques ouverts.</x:v>
      </x:c>
      <x:c r="D16" s="26" t="str">
        <x:v>MMD-01..16 / ANI-01..12</x:v>
      </x:c>
      <x:c r="E16" s="26" t="str">
        <x:v>AUDIT_V28.json A27 ; src/face-core.js</x:v>
      </x:c>
      <x:c r="F16" s="26" t="str">
        <x:v>Repères phonétiques et mapping éditable par modèle.</x:v>
      </x:c>
    </x:row>
    <x:row r="17" ht="108" customHeight="1">
      <x:c r="A17" s="10" t="str">
        <x:v>Multi-danseurs / montage</x:v>
      </x:c>
      <x:c r="B17" s="10" t="str">
        <x:v>Présent, étendu en V29</x:v>
      </x:c>
      <x:c r="C17" s="10" t="str">
        <x:v>Sélection, décalage et collage groupés testés sur deux danseurs ; mêmes pistes.</x:v>
      </x:c>
      <x:c r="D17" s="10" t="str">
        <x:v>DIR-01..05</x:v>
      </x:c>
      <x:c r="E17" s="10" t="str">
        <x:v>qa/v29/features/browser-final.json</x:v>
      </x:c>
      <x:c r="F17" s="10" t="str">
        <x:v>Valider scènes longues et grosses bibliothèques ; montage inter-pistes avancé ouvert.</x:v>
      </x:c>
    </x:row>
    <x:row r="18" ht="108" customHeight="1">
      <x:c r="A18" s="26" t="str">
        <x:v>Tout fichier MMD téléchargé</x:v>
      </x:c>
      <x:c r="B18" s="26" t="str">
        <x:v>Non garanti</x:v>
      </x:c>
      <x:c r="C18" s="26" t="str">
        <x:v>L’existence d’un importeur ne vaut pas compatibilité totale.</x:v>
      </x:c>
      <x:c r="D18" s="26" t="str">
        <x:v>MMD-01..16</x:v>
      </x:c>
      <x:c r="E18" s="26" t="str">
        <x:v>planning/BACKLOG_V29.json</x:v>
      </x:c>
      <x:c r="F18" s="26" t="str">
        <x:v>Consulter diagnostics, ressources manquantes et limites avant usage.</x:v>
      </x:c>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c3afc954c8534ef6"/>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8" hidden="0" customWidth="1"/>
    <x:col min="3" max="3" width="24" hidden="0" customWidth="1"/>
    <x:col min="4" max="4" width="46" hidden="0" customWidth="1"/>
    <x:col min="5" max="5" width="42" hidden="0" customWidth="1"/>
    <x:col min="6" max="6" width="42" hidden="0" customWidth="1"/>
    <x:col min="7" max="7" width="45" hidden="0" customWidth="1"/>
  </x:cols>
  <x:sheetData>
    <x:row r="1" ht="24" customHeight="1">
      <x:c r="A1" s="140" t="str">
        <x:v>V28 / historique conservé</x:v>
      </x:c>
      <x:c r="B1" s="140"/>
      <x:c r="C1" s="140"/>
      <x:c r="D1" s="140"/>
      <x:c r="E1" s="140"/>
      <x:c r="F1" s="140"/>
      <x:c r="G1" s="140"/>
    </x:row>
    <x:row r="2" ht="24" customHeight="1">
      <x:c r="A2" s="140"/>
      <x:c r="B2" s="140"/>
      <x:c r="C2" s="140"/>
      <x:c r="D2" s="140"/>
      <x:c r="E2" s="140"/>
      <x:c r="F2" s="140"/>
      <x:c r="G2" s="140"/>
    </x:row>
    <x:row r="3" ht="44" customHeight="1">
      <x:c r="A3" s="18" t="str">
        <x:v>Contenu historique conservé. Le suivi V30 réconcilié dans Manquants prévaut ; les affirmations de l'ancienne variante ne constituent pas une validation de main.</x:v>
      </x:c>
      <x:c r="B3" s="10"/>
      <x:c r="C3" s="10"/>
      <x:c r="D3" s="10"/>
      <x:c r="E3" s="10"/>
      <x:c r="F3" s="10"/>
      <x:c r="G3" s="10"/>
    </x:row>
    <x:row r="4" ht="24" customHeight="1">
      <x:c r="A4" s="10"/>
      <x:c r="B4" s="10"/>
      <x:c r="C4" s="10"/>
      <x:c r="D4" s="10"/>
      <x:c r="E4" s="10"/>
      <x:c r="F4" s="10"/>
      <x:c r="G4" s="10"/>
    </x:row>
    <x:row r="5" ht="32" customHeight="1">
      <x:c r="A5" s="22" t="str">
        <x:v>ID initial</x:v>
      </x:c>
      <x:c r="B5" s="22" t="str">
        <x:v>Priorité</x:v>
      </x:c>
      <x:c r="C5" s="22" t="str">
        <x:v>Statut historique</x:v>
      </x:c>
      <x:c r="D5" s="22" t="str">
        <x:v>Domaine</x:v>
      </x:c>
      <x:c r="E5" s="22" t="str">
        <x:v>Constat</x:v>
      </x:c>
      <x:c r="F5" s="22" t="str">
        <x:v>Observation initiale</x:v>
      </x:c>
      <x:c r="G5" s="22" t="str">
        <x:v>Action historique</x:v>
      </x:c>
    </x:row>
    <x:row r="6" ht="108" customHeight="1">
      <x:c r="A6" s="26" t="str">
        <x:v>A01</x:v>
      </x:c>
      <x:c r="B6" s="26" t="str">
        <x:v>P0</x:v>
      </x:c>
      <x:c r="C6" s="26" t="str">
        <x:v>Corrigé et testé</x:v>
      </x:c>
      <x:c r="D6" s="26" t="str">
        <x:v>Sauvegarde</x:v>
      </x:c>
      <x:c r="E6" s="26" t="str">
        <x:v>L’export dépendait des écritures</x:v>
      </x:c>
      <x:c r="F6" s="26" t="str">
        <x:v>Le chemin exportBackup enregistrait de nouveau les morceaux avant de lire la bibliothèque. Une écriture refusée pouvait donc empêcher une sauvegarde de secours.</x:v>
      </x:c>
      <x:c r="G6" s="26" t="str">
        <x:v>Export en lecture seule. La partition sale du studio est incluse comme brouillon distinct, pas publiée sur la source. Le test refuse toutes les nouvelles écritures et obtient quand même le fichier de sauvegarde.</x:v>
      </x:c>
    </x:row>
    <x:row r="7" ht="108" customHeight="1">
      <x:c r="A7" s="10" t="str">
        <x:v>A02</x:v>
      </x:c>
      <x:c r="B7" s="10" t="str">
        <x:v>P0</x:v>
      </x:c>
      <x:c r="C7" s="10" t="str">
        <x:v>Corrigé et testé</x:v>
      </x:c>
      <x:c r="D7" s="10" t="str">
        <x:v>Sauvegarde</x:v>
      </x:c>
      <x:c r="E7" s="10" t="str">
        <x:v>Transactions mémoire partiellement validées</x:v>
      </x:c>
      <x:c r="F7" s="10" t="str">
        <x:v>Le mode temporaire devait valider et cloner toutes les lignes avant la première modification, comme une transaction complète.</x:v>
      </x:c>
      <x:c r="G7" s="10" t="str">
        <x:v>Prévalidation des collections, identifiants et objets clonables. Échec sur la deuxième ligne : aucune première ligne ajoutée. Les valeurs sont des instantanés indépendants.</x:v>
      </x:c>
    </x:row>
    <x:row r="8" ht="108" customHeight="1">
      <x:c r="A8" s="26" t="str">
        <x:v>A03</x:v>
      </x:c>
      <x:c r="B8" s="26" t="str">
        <x:v>P0</x:v>
      </x:c>
      <x:c r="C8" s="26" t="str">
        <x:v>Corrigé et testé</x:v>
      </x:c>
      <x:c r="D8" s="26" t="str">
        <x:v>Sauvegarde</x:v>
      </x:c>
      <x:c r="E8" s="26" t="str">
        <x:v>Stockage fermé pris pour un stockage vide</x:v>
      </x:c>
      <x:c r="F8" s="26" t="str">
        <x:v>Une connexion invalidée ne doit pas provoquer un retour silencieux à une nouvelle mémoire vide, ni afficher une réussite de sauvegarde.</x:v>
      </x:c>
      <x:c r="G8" s="26" t="str">
        <x:v>État invalidated explicite ; toutes les lectures et mutations le refusent. Badge STOCKAGE FERMÉ, message de rechargement et pause de la partie. Gestion des événements de fermeture et de changement de version.</x:v>
      </x:c>
    </x:row>
    <x:row r="9" ht="108" customHeight="1">
      <x:c r="A9" s="10" t="str">
        <x:v>A04</x:v>
      </x:c>
      <x:c r="B9" s="10" t="str">
        <x:v>P1</x:v>
      </x:c>
      <x:c r="C9" s="10" t="str">
        <x:v>Corrigé et testé</x:v>
      </x:c>
      <x:c r="D9" s="10" t="str">
        <x:v>Sauvegarde</x:v>
      </x:c>
      <x:c r="E9" s="10" t="str">
        <x:v>Réglages affichés avant confirmation du stockage</x:v>
      </x:c>
      <x:c r="F9" s="10" t="str">
        <x:v>L’objet de préférences pouvait conserver un changement alors que la transaction avait été annulée.</x:v>
      </x:c>
      <x:c r="G9" s="10" t="str">
        <x:v>Instantané de la dernière écriture confirmée et remise en état sur abort. Une réussite n’est publiée qu’à la fin de la transaction. Une exception d’observateur ne transforme pas un commit réussi en échec.</x:v>
      </x:c>
    </x:row>
    <x:row r="10" ht="108" customHeight="1">
      <x:c r="A10" s="26" t="str">
        <x:v>A05</x:v>
      </x:c>
      <x:c r="B10" s="26" t="str">
        <x:v>P1</x:v>
      </x:c>
      <x:c r="C10" s="26" t="str">
        <x:v>Corrigé et testé</x:v>
      </x:c>
      <x:c r="D10" s="26" t="str">
        <x:v>Bibliothèque</x:v>
      </x:c>
      <x:c r="E10" s="26" t="str">
        <x:v>Métadonnées et favoris non conservés après échec</x:v>
      </x:c>
      <x:c r="F10" s="26" t="str">
        <x:v>Modifier un titre ou un favori pouvait laisser l’interface en désaccord avec les données réellement enregistrées.</x:v>
      </x:c>
      <x:c r="G10" s="26" t="str">
        <x:v>Candidat enregistré avant publication ; rollback du favori. Une sauvegarde de métadonnées refusée conserve la source et le champ saisi pour réessayer.</x:v>
      </x:c>
    </x:row>
    <x:row r="11" ht="108" customHeight="1">
      <x:c r="A11" s="10" t="str">
        <x:v>A06</x:v>
      </x:c>
      <x:c r="B11" s="10" t="str">
        <x:v>P1</x:v>
      </x:c>
      <x:c r="C11" s="10" t="str">
        <x:v>Corrigé et testé</x:v>
      </x:c>
      <x:c r="D11" s="10" t="str">
        <x:v>Bibliothèque</x:v>
      </x:c>
      <x:c r="E11" s="10" t="str">
        <x:v>Setlist fantôme après refus de sauvegarde</x:v>
      </x:c>
      <x:c r="F11" s="10" t="str">
        <x:v>Le tableau des concerts pouvait être modifié avant la validation de son enregistrement ou de sa suppression.</x:v>
      </x:c>
      <x:c r="G11" s="10" t="str">
        <x:v>Copie candidate puis publication après succès. La file de morceaux reste disponible après un échec. Tests d’ajout, de nouvelle tentative et de suppression refusée.</x:v>
      </x:c>
    </x:row>
    <x:row r="12" ht="108" customHeight="1">
      <x:c r="A12" s="26" t="str">
        <x:v>A07</x:v>
      </x:c>
      <x:c r="B12" s="26" t="str">
        <x:v>P1</x:v>
      </x:c>
      <x:c r="C12" s="26" t="str">
        <x:v>Avancé, validation partielle</x:v>
      </x:c>
      <x:c r="D12" s="26" t="str">
        <x:v>Sauvegarde</x:v>
      </x:c>
      <x:c r="E12" s="26" t="str">
        <x:v>Propriétaire d’une sauvegarde et remplacement GLB</x:v>
      </x:c>
      <x:c r="F12" s="26" t="str">
        <x:v>Un changement de morceau pendant une écriture ne doit pas restaurer le mauvais objet. Un GLB prévisualisé mais non enregistré ne doit pas rester à la place de la scène sauvegardée.</x:v>
      </x:c>
      <x:c r="G12" s="26" t="str">
        <x:v>Sauvegarde attachée au propriétaire et à un numéro de requête ; retour à la scène enregistrée en cas d’import GLB échoué. Revue et non-régression effectuées ; le scénario GLB de panne graphique pendant l’écriture n’a pas son propre test navigateur exhaustif dans cette passe.</x:v>
      </x:c>
    </x:row>
    <x:row r="13" ht="108" customHeight="1">
      <x:c r="A13" s="10" t="str">
        <x:v>A08</x:v>
      </x:c>
      <x:c r="B13" s="10" t="str">
        <x:v>P1</x:v>
      </x:c>
      <x:c r="C13" s="10" t="str">
        <x:v>Corrigé et testé</x:v>
      </x:c>
      <x:c r="D13" s="10" t="str">
        <x:v>Director</x:v>
      </x:c>
      <x:c r="E13" s="10" t="str">
        <x:v>Brouillon perdu en fermant le panneau</x:v>
      </x:c>
      <x:c r="F13" s="10" t="str">
        <x:v>Les modifications non appliquées du Director dépendaient de la seule session du panneau.</x:v>
      </x:c>
      <x:c r="G13" s="10" t="str">
        <x:v>Brouillon séparé par morceau, file d’écriture et récupération explicite à la réouverture. La récupération reste annulable. Source manuelle inchangée avant Enregistrer.</x:v>
      </x:c>
    </x:row>
    <x:row r="14" ht="108" customHeight="1">
      <x:c r="A14" s="26" t="str">
        <x:v>A09</x:v>
      </x:c>
      <x:c r="B14" s="26" t="str">
        <x:v>P1</x:v>
      </x:c>
      <x:c r="C14" s="26" t="str">
        <x:v>Corrigé et testé</x:v>
      </x:c>
      <x:c r="D14" s="26" t="str">
        <x:v>Director</x:v>
      </x:c>
      <x:c r="E14" s="26" t="str">
        <x:v>Brouillon refusé absent de la sauvegarde portable</x:v>
      </x:c>
      <x:c r="F14" s="26" t="str">
        <x:v>Une dernière modification pouvait ne subsister qu’en mémoire après un quota refusé ; les anciens exports ne transportaient pas cet état Director.</x:v>
      </x:c>
      <x:c r="G14" s="26" t="str">
        <x:v>Conservation en mémoire avec statut d’échec, fusion de l’état le plus récent dans directorDrafts du pulsepack, références médias et propriétaire remappés à la restauration. Rechargement des deux personnages restaurés.</x:v>
      </x:c>
    </x:row>
    <x:row r="15" ht="108" customHeight="1">
      <x:c r="A15" s="10" t="str">
        <x:v>A10</x:v>
      </x:c>
      <x:c r="B15" s="10" t="str">
        <x:v>P1</x:v>
      </x:c>
      <x:c r="C15" s="10" t="str">
        <x:v>Corrigé et testé</x:v>
      </x:c>
      <x:c r="D15" s="10" t="str">
        <x:v>Rendu</x:v>
      </x:c>
      <x:c r="E15" s="10" t="str">
        <x:v>Perte du contexte graphique pendant un PV</x:v>
      </x:c>
      <x:c r="F15" s="10" t="str">
        <x:v>Les ressources GPU étaient invalides après une perte de contexte ; une simple nouvelle image ne suffisait pas à rétablir le spectacle.</x:v>
      </x:c>
      <x:c r="G15" s="10" t="str">
        <x:v>Détection de la perte, arrêt de l’horloge audio, reconstruction des programmes et buffers, rechargement des personnages. La partie reste en pause jusqu’à l’action du joueur. Test réel WEBGL_lose_context, pas seulement un événement DOM fabriqué.</x:v>
      </x:c>
    </x:row>
    <x:row r="16" ht="108" customHeight="1">
      <x:c r="A16" s="26" t="str">
        <x:v>A11</x:v>
      </x:c>
      <x:c r="B16" s="26" t="str">
        <x:v>P1</x:v>
      </x:c>
      <x:c r="C16" s="26" t="str">
        <x:v>Corrigé et testé</x:v>
      </x:c>
      <x:c r="D16" s="26" t="str">
        <x:v>Rendu</x:v>
      </x:c>
      <x:c r="E16" s="26" t="str">
        <x:v>Échec de création du shader bloquant le démarrage</x:v>
      </x:c>
      <x:c r="F16" s="26" t="str">
        <x:v>Une compilation de shader refusée pouvait remonter hors du chemin de repli 2D.</x:v>
      </x:c>
      <x:c r="G16" s="26" t="str">
        <x:v>Initialisation capturée, diagnostic initError, renderer indisponible et repli annoncé. Test de compilation volontairement refusée.</x:v>
      </x:c>
    </x:row>
    <x:row r="17" ht="108" customHeight="1">
      <x:c r="A17" s="10" t="str">
        <x:v>A12</x:v>
      </x:c>
      <x:c r="B17" s="10" t="str">
        <x:v>P1</x:v>
      </x:c>
      <x:c r="C17" s="10" t="str">
        <x:v>Corrigé et testé; allocations de morphs améliorées</x:v>
      </x:c>
      <x:c r="D17" s="10" t="str">
        <x:v>Performances</x:v>
      </x:c>
      <x:c r="E17" s="10" t="str">
        <x:v>Palette d’os répétée par matériau</x:v>
      </x:c>
      <x:c r="F17" s="10" t="str">
        <x:v>Les données du squelette étaient préparées et envoyées pour chaque matériau, malgré un modèle et une pose identiques.</x:v>
      </x:c>
      <x:c r="G17" s="10" t="str">
        <x:v>Palette partagée par les matériaux et réutilisation de son tableau en mémoire ; un envoi par modèle et par image. Deux matériaux contrôlés dans le vrai renderer.</x:v>
      </x:c>
    </x:row>
    <x:row r="18" ht="108" customHeight="1">
      <x:c r="A18" s="26" t="str">
        <x:v>A13</x:v>
      </x:c>
      <x:c r="B18" s="26" t="str">
        <x:v>P1</x:v>
      </x:c>
      <x:c r="C18" s="26" t="str">
        <x:v>Avancé et testé</x:v>
      </x:c>
      <x:c r="D18" s="26" t="str">
        <x:v>MMD</x:v>
      </x:c>
      <x:c r="E18" s="26" t="str">
        <x:v>SDEF lu puis remplacé par une déformation linéaire</x:v>
      </x:c>
      <x:c r="F18" s="26" t="str">
        <x:v>Les centres C/R0/R1 étaient sautés par le parseur. Le rendu ne pouvait donc pas calculer le SDEF prévu par le fichier.</x:v>
      </x:c>
      <x:c r="G18" s="26" t="str">
        <x:v>Conservation, conversion de coordonnées et validation des centres ; calcul sphérique spécifique CPU/GLSL. Équation vérifiée contre une forme développée indépendante et sortie GPU comparée. Support de transformations rigides, pas certification de tout squelette complexe.</x:v>
      </x:c>
    </x:row>
    <x:row r="19" ht="108" customHeight="1">
      <x:c r="A19" s="10" t="str">
        <x:v>A14</x:v>
      </x:c>
      <x:c r="B19" s="10" t="str">
        <x:v>P1</x:v>
      </x:c>
      <x:c r="C19" s="10" t="str">
        <x:v>Avancé et testé</x:v>
      </x:c>
      <x:c r="D19" s="10" t="str">
        <x:v>MMD</x:v>
      </x:c>
      <x:c r="E19" s="10" t="str">
        <x:v>QDEF traité comme BDEF</x:v>
      </x:c>
      <x:c r="F19" s="10" t="str">
        <x:v>Le type QDEF n’avait pas son chemin de déformation par quaternions duaux normalisés.</x:v>
      </x:c>
      <x:c r="G19" s="10" t="str">
        <x:v>Chemin QDEF à quatre influences, correction du signe des quaternions, normalisation, translation et normales. Tests des torsions, des poids extrêmes et du résultat GPU. Les héritages d’os, échelles non rigides et la physique restent distincts.</x:v>
      </x:c>
    </x:row>
    <x:row r="20" ht="108" customHeight="1">
      <x:c r="A20" s="26" t="str">
        <x:v>A15</x:v>
      </x:c>
      <x:c r="B20" s="26" t="str">
        <x:v>P2</x:v>
      </x:c>
      <x:c r="C20" s="26" t="str">
        <x:v>Corrigé, contrôle structurel</x:v>
      </x:c>
      <x:c r="D20" s="26" t="str">
        <x:v>MMD</x:v>
      </x:c>
      <x:c r="E20" s="26" t="str">
        <x:v>Sphere map calculée dans le mauvais repère</x:v>
      </x:c>
      <x:c r="F20" s="26" t="str">
        <x:v>La normale utilisée pour la sphere map devait suivre le repère de la caméra, pas uniquement le repère du monde.</x:v>
      </x:c>
      <x:c r="G20" s="26" t="str">
        <x:v>Normale transformée par la vue. Shader compilé et parcours MMD rejoués. La comparaison pixel à pixel de matériaux complexes avec MMD Desktop n’est pas faite.</x:v>
      </x:c>
    </x:row>
    <x:row r="21" ht="108" customHeight="1">
      <x:c r="A21" s="10" t="str">
        <x:v>A16</x:v>
      </x:c>
      <x:c r="B21" s="10" t="str">
        <x:v>P1</x:v>
      </x:c>
      <x:c r="C21" s="10" t="str">
        <x:v>Corrigé et testé</x:v>
      </x:c>
      <x:c r="D21" s="10" t="str">
        <x:v>AutoMap</x:v>
      </x:c>
      <x:c r="E21" s="10" t="str">
        <x:v>Génération ralentie par des rescans globaux</x:v>
      </x:c>
      <x:c r="F21" s="10" t="str">
        <x:v>À chaque candidat d’accord, l’algorithme reconstruisait et triait les notes de toute la difficulté pour vérifier une densité locale.</x:v>
      </x:c>
      <x:c r="G21" s="10" t="str">
        <x:v>Listes par difficulté maintenues en ordre et contrôle limité aux fenêtres de quatre secondes que le candidat peut modifier. Comparaison stricte des notes avec le moteur V22 conservé comme oracle.</x:v>
      </x:c>
    </x:row>
    <x:row r="22" ht="108" customHeight="1">
      <x:c r="A22" s="26" t="str">
        <x:v>A17</x:v>
      </x:c>
      <x:c r="B22" s="26" t="str">
        <x:v>P1</x:v>
      </x:c>
      <x:c r="C22" s="26" t="str">
        <x:v>Corrigé et testé</x:v>
      </x:c>
      <x:c r="D22" s="26" t="str">
        <x:v>Validation</x:v>
      </x:c>
      <x:c r="E22" s="26" t="str">
        <x:v>Préférences restaurées hors limites</x:v>
      </x:c>
      <x:c r="F22" s="26" t="str">
        <x:v>Des valeurs nulles, booléennes, infinies, hors plage, ou des mappings de touches en doublon pouvaient produire des réglages incohérents.</x:v>
      </x:c>
      <x:c r="G22" s="26" t="str">
        <x:v>Contrats numériques et de types, mappings uniques, profils de jugement connus. Récupération avec avertissement au démarrage ; restauration explicitement refusée et atomique pour les préférences invalides.</x:v>
      </x:c>
    </x:row>
    <x:row r="23" ht="108" customHeight="1">
      <x:c r="A23" s="10" t="str">
        <x:v>A18</x:v>
      </x:c>
      <x:c r="B23" s="10" t="str">
        <x:v>P1</x:v>
      </x:c>
      <x:c r="C23" s="10" t="str">
        <x:v>Corrigé et testé</x:v>
      </x:c>
      <x:c r="D23" s="10" t="str">
        <x:v>Validation</x:v>
      </x:c>
      <x:c r="E23" s="10" t="str">
        <x:v>Director mal formé accepté partiellement</x:v>
      </x:c>
      <x:c r="F23" s="10" t="str">
        <x:v>Des structures inattendues de slots/clips ou des clés de formation dupliquées pouvaient être normalisées de façon ambiguë.</x:v>
      </x:c>
      <x:c r="G23" s="10" t="str">
        <x:v>Limites et types contrôlés, invalides refusés avant remplacement. Les sources ne sont pas modifiées lors du refus.</x:v>
      </x:c>
    </x:row>
    <x:row r="24" ht="108" customHeight="1">
      <x:c r="A24" s="26" t="str">
        <x:v>A19</x:v>
      </x:c>
      <x:c r="B24" s="26" t="str">
        <x:v>P2</x:v>
      </x:c>
      <x:c r="C24" s="26" t="str">
        <x:v>Amélioré et testé</x:v>
      </x:c>
      <x:c r="D24" s="26" t="str">
        <x:v>Interface</x:v>
      </x:c>
      <x:c r="E24" s="26" t="str">
        <x:v>Réglages devenus trop longs à parcourir</x:v>
      </x:c>
      <x:c r="F24" s="26" t="str">
        <x:v>L’empilement des systèmes rendait l’accès à Audio, AutoMap ou aux sauvegardes peu direct.</x:v>
      </x:c>
      <x:c r="G24" s="26" t="str">
        <x:v>Six raccourcis vers les rubriques réelles, panneaux homogènes et lignes de diagnostic repliables. Capture mobile du Director et contrôle des dimensions.</x:v>
      </x:c>
    </x:row>
    <x:row r="25" ht="108" customHeight="1">
      <x:c r="A25" s="10" t="str">
        <x:v>A20</x:v>
      </x:c>
      <x:c r="B25" s="10" t="str">
        <x:v>P2</x:v>
      </x:c>
      <x:c r="C25" s="10" t="str">
        <x:v>Ajouté et testé</x:v>
      </x:c>
      <x:c r="D25" s="10" t="str">
        <x:v>Diagnostic</x:v>
      </x:c>
      <x:c r="E25" s="10" t="str">
        <x:v>Aucun état global exploitable de la bibliothèque</x:v>
      </x:c>
      <x:c r="F25" s="10" t="str">
        <x:v>Les contrôles MMD à l’import ne signalaient pas ensemble les niveaux manquants, médias absents et spectacles invalides de la bibliothèque courante.</x:v>
      </x:c>
      <x:c r="G25" s="10" t="str">
        <x:v>Diagnostic non destructif de bibliothèque conservé. Il signale aussi les descripteurs acoustiques invalides et indique que les copies acoustiques ne sont pas des identités vérifiées.</x:v>
      </x:c>
    </x:row>
    <x:row r="26" ht="108" customHeight="1">
      <x:c r="A26" s="26" t="str">
        <x:v>A21</x:v>
      </x:c>
      <x:c r="B26" s="26" t="str">
        <x:v>P1</x:v>
      </x:c>
      <x:c r="C26" s="26" t="str">
        <x:v>Avancé : dynamique secondaire native ; Bullet et corps souples ouverts</x:v>
      </x:c>
      <x:c r="D26" s="26" t="str">
        <x:v>MMD</x:v>
      </x:c>
      <x:c r="E26" s="26" t="str">
        <x:v>Physique Bullet, articulations et corps souples</x:v>
      </x:c>
      <x:c r="F26" s="26" t="str">
        <x:v>Le pipeline V23 ne simule pas exhaustivement les corps rigides, contraintes et tissus d’un pack PMX. Les options anciennes ne sont pas une preuve d’intégration Bullet.</x:v>
      </x:c>
      <x:c r="G26" s="26" t="str">
        <x:v>Lecture complète des tables de corps PMX/PMD et articulations prises en charge. Solveur positionnel natif optionnel, gravité, collisions approchées, limites/corrections de rappel, réinjection dans les os. Pas de Bullet, pas de tissu/corps souples, pas de tenseur complet ni de fidélité universelle. L’aperçu et la sauvegarde par morceau sont testés.</x:v>
      </x:c>
    </x:row>
    <x:row r="27" ht="108" customHeight="1">
      <x:c r="A27" s="10" t="str">
        <x:v>A22</x:v>
      </x:c>
      <x:c r="B27" s="10" t="str">
        <x:v>P1</x:v>
      </x:c>
      <x:c r="C27" s="10" t="str">
        <x:v>Avancé, compatibilité partielle</x:v>
      </x:c>
      <x:c r="D27" s="10" t="str">
        <x:v>MMD</x:v>
      </x:c>
      <x:c r="E27" s="10" t="str">
        <x:v>Héritages de transformations et contraintes IK complètes</x:v>
      </x:c>
      <x:c r="F27" s="10" t="str">
        <x:v>Le solveur présent ne couvre pas tous les grants/append transforms, axes locaux et limites IK attendus par les modèles avancés.</x:v>
      </x:c>
      <x:c r="G27" s="10" t="str">
        <x:v>Héritages standards non locaux de rotation et translation, ratios et chaînes, cycles refusés, projection XYZ des limites IK dans le bon repère, plafond de 32 itérations. Les héritages locaux/monde, axes, interactions après IK et physique restent ouverts.</x:v>
      </x:c>
    </x:row>
    <x:row r="28" ht="108" customHeight="1">
      <x:c r="A28" s="26" t="str">
        <x:v>A23</x:v>
      </x:c>
      <x:c r="B28" s="26" t="str">
        <x:v>P2</x:v>
      </x:c>
      <x:c r="C28" s="26" t="str">
        <x:v>Ouvert</x:v>
      </x:c>
      <x:c r="D28" s="26" t="str">
        <x:v>MMD</x:v>
      </x:c>
      <x:c r="E28" s="26" t="str">
        <x:v>Matériaux et effets MME exhaustifs</x:v>
      </x:c>
      <x:c r="F28" s="26" t="str">
        <x:v>Les morphs UV0/couleur/opacité et sphere maps existent, mais le rendu complet des UV additionnels, contours, toon, spéculaire et effets MME n’est pas équivalent à MMD Desktop.</x:v>
      </x:c>
      <x:c r="G28" s="26" t="str">
        <x:v>À faire : matrice de compatibilité des matériaux, images de référence par fonction, règles de transparence, rendu des contours et effets explicitement supportés. Garder un avertissement sur les fonctions ignorées.</x:v>
      </x:c>
    </x:row>
    <x:row r="29" ht="108" customHeight="1">
      <x:c r="A29" s="10" t="str">
        <x:v>A24</x:v>
      </x:c>
      <x:c r="B29" s="10" t="str">
        <x:v>P1</x:v>
      </x:c>
      <x:c r="C29" s="10" t="str">
        <x:v>Non validé</x:v>
      </x:c>
      <x:c r="D29" s="10" t="str">
        <x:v>Compatibilité</x:v>
      </x:c>
      <x:c r="E29" s="10" t="str">
        <x:v>Collection représentative de modèles téléchargés</x:v>
      </x:c>
      <x:c r="F29" s="10" t="str">
        <x:v>Les tests présents utilisent surtout des diagnostics originaux. Leur passage ne certifie pas un personnage quelconque avec des centaines de textures et contraintes.</x:v>
      </x:c>
      <x:c r="G29" s="10" t="str">
        <x:v>À faire : corpus avec autorisation de test, provenance et licences consignées ; PMD/PMX, morphs, textures japonaises, os complexes et plusieurs tailles ; grille rendu/animation/physique indépendante.</x:v>
      </x:c>
    </x:row>
    <x:row r="30" ht="108" customHeight="1">
      <x:c r="A30" s="26" t="str">
        <x:v>A25</x:v>
      </x:c>
      <x:c r="B30" s="26" t="str">
        <x:v>P2</x:v>
      </x:c>
      <x:c r="C30" s="26" t="str">
        <x:v>Avancé, proposition à valider</x:v>
      </x:c>
      <x:c r="D30" s="26" t="str">
        <x:v>Animation</x:v>
      </x:c>
      <x:c r="E30" s="26" t="str">
        <x:v>BPM d’un VMD automatiquement détecté</x:v>
      </x:c>
      <x:c r="F30" s="26" t="str">
        <x:v>Le calage musical demande toujours un BPM source et un premier temps fournis. La durée d’un VMD ne suffit pas à déterminer sa pulsation.</x:v>
      </x:c>
      <x:c r="G30" s="26" t="str">
        <x:v>Recherche bornée de cycles de pose VMD, stabilité sur deux moitiés, plusieurs interprétations BPM. Sélection explicite puis sauvegarde ; aucune phase certaine ni application automatique. VMD statiques et sans cycle refusés comme source de BPM.</x:v>
      </x:c>
    </x:row>
    <x:row r="31" ht="108" customHeight="1">
      <x:c r="A31" s="10" t="str">
        <x:v>A26</x:v>
      </x:c>
      <x:c r="B31" s="10" t="str">
        <x:v>P1</x:v>
      </x:c>
      <x:c r="C31" s="10" t="str">
        <x:v>Ouvert</x:v>
      </x:c>
      <x:c r="D31" s="10" t="str">
        <x:v>Animation</x:v>
      </x:c>
      <x:c r="E31" s="10" t="str">
        <x:v>Retargeting universel et appuis des pieds</x:v>
      </x:c>
      <x:c r="F31" s="10" t="str">
        <x:v>La correspondance de noms d’os ne corrige ni les proportions, ni les poses de repos, ni les pénétrations. La danse procédurale MMD reste surtout sur le haut du corps reconnu.</x:v>
      </x:c>
      <x:c r="G31" s="10" t="str">
        <x:v>À faire : mapping éditable, pose de repos, correction des axes/proportions, contacts des pieds, root motion et limites articulaires ; conserver la pose plutôt qu’un retargeting aveugle.</x:v>
      </x:c>
    </x:row>
    <x:row r="32" ht="108" customHeight="1">
      <x:c r="A32" s="26" t="str">
        <x:v>A27</x:v>
      </x:c>
      <x:c r="B32" s="26" t="str">
        <x:v>P2</x:v>
      </x:c>
      <x:c r="C32" s="26" t="str">
        <x:v>Avancé, enveloppe audio et édition manuelle; visèmes ouverts</x:v>
      </x:c>
      <x:c r="D32" s="26" t="str">
        <x:v>Animation</x:v>
      </x:c>
      <x:c r="E32" s="26" t="str">
        <x:v>Visèmes et synchronisation labiale depuis la chanson</x:v>
      </x:c>
      <x:c r="F32" s="26" t="str">
        <x:v>Les morphs faciaux VMD sont lus ; le moteur ne déduit pas des paroles et visèmes fiables depuis un mix musical.</x:v>
      </x:c>
      <x:c r="G32" s="26" t="str">
        <x:v>À faire : piste faciale séparée, import de repères phonétiques ou pipeline d’analyse explicite, réglage des visèmes par modèle et possibilité de correction manuelle.</x:v>
      </x:c>
    </x:row>
    <x:row r="33" ht="108" customHeight="1">
      <x:c r="A33" s="10" t="str">
        <x:v>A28</x:v>
      </x:c>
      <x:c r="B33" s="10" t="str">
        <x:v>P1</x:v>
      </x:c>
      <x:c r="C33" s="10" t="str">
        <x:v>Avancé, corpus synthétique seulement</x:v>
      </x:c>
      <x:c r="D33" s="10" t="str">
        <x:v>AutoMap</x:v>
      </x:c>
      <x:c r="E33" s="10" t="str">
        <x:v>Qualité des patterns sur de vraies chansons</x:v>
      </x:c>
      <x:c r="F33" s="10" t="str">
        <x:v>Les contraintes d’héritage, de cadence et de quantification sont testées. Les sections et attaques restent des heuristiques ; elles ne garantissent pas une partition agréable sur chaque genre.</x:v>
      </x:c>
      <x:c r="G33" s="10" t="str">
        <x:v>Cinq WAV originaux annotés (binaire, ternaire, swing, changement de tempo, silence), analyse PCM réelle et contrôle des cinq difficultés. Rappel/précision mesurés. Pas de corpus de chansons mixées ni d’évaluation humaine ; moteur générateur V23 conservé.</x:v>
      </x:c>
    </x:row>
    <x:row r="34" ht="108" customHeight="1">
      <x:c r="A34" s="26" t="str">
        <x:v>A29</x:v>
      </x:c>
      <x:c r="B34" s="26" t="str">
        <x:v>P2</x:v>
      </x:c>
      <x:c r="C34" s="26" t="str">
        <x:v>Avancé, candidats acoustiques locaux; validation en corpus réel ouverte</x:v>
      </x:c>
      <x:c r="D34" s="26" t="str">
        <x:v>AutoMap</x:v>
      </x:c>
      <x:c r="E34" s="26" t="str">
        <x:v>Reconnaissance d’un audio réencodé</x:v>
      </x:c>
      <x:c r="F34" s="26" t="str">
        <x:v>L’empreinte exacte identifie un même fichier, pas deux encodages d’un enregistrement ni une version concert/remix.</x:v>
      </x:c>
      <x:c r="G34" s="26" t="str">
        <x:v>Index spectral/énergie du PCM, propositions après import réencodé, offset ±2 s estimé par pas de 50 ms, contrôle en quatre portions. La copie demande sélection, écoute et confirmation ; nouveaux identifiants et provenance non vérifiée, sans écraser aucune source. Les WAV/MP3 du diagnostic sont reconnus, une autre composition de même BPM est refusée. Aucune preuve d’identité universelle ou recherche en ligne.</x:v>
      </x:c>
    </x:row>
    <x:row r="35" ht="108" customHeight="1">
      <x:c r="A35" s="10" t="str">
        <x:v>A30</x:v>
      </x:c>
      <x:c r="B35" s="10" t="str">
        <x:v>P2</x:v>
      </x:c>
      <x:c r="C35" s="10" t="str">
        <x:v>Ouvert</x:v>
      </x:c>
      <x:c r="D35" s="10" t="str">
        <x:v>Catalogue</x:v>
      </x:c>
      <x:c r="E35" s="10" t="str">
        <x:v>Recherche de partitions existantes en ligne</x:v>
      </x:c>
      <x:c r="F35" s="10" t="str">
        <x:v>Le catalogue de charts demeure local, alimenté par les imports. L’absence de niveau local déclenche AutoMap, pas une recherche mondiale.</x:v>
      </x:c>
      <x:c r="G35" s="10" t="str">
        <x:v>À faire : connecteur de catalogue autorisé, provenance/version de chaque niveau, association de l’audio vérifiable, cache et décision de l’utilisateur avant une source incertaine.</x:v>
      </x:c>
    </x:row>
    <x:row r="36" ht="108" customHeight="1">
      <x:c r="A36" s="26" t="str">
        <x:v>A31</x:v>
      </x:c>
      <x:c r="B36" s="26" t="str">
        <x:v>P2</x:v>
      </x:c>
      <x:c r="C36" s="26" t="str">
        <x:v>Avancé, format binaire et banc synthétique; plafond réel à valider</x:v>
      </x:c>
      <x:c r="D36" s="26" t="str">
        <x:v>Performances</x:v>
      </x:c>
      <x:c r="E36" s="26" t="str">
        <x:v>Très gros médias et sauvegardes volumineuses</x:v>
      </x:c>
      <x:c r="F36" s="26" t="str">
        <x:v>Le décodage audio, certains tableaux et les sauvegardes JSON/base64 occupent la mémoire. L’optimisation V23 concerne la génération, pas un décodage audio ou un export totalement en streaming.</x:v>
      </x:c>
      <x:c r="G36" s="26" t="str">
        <x:v>À faire : budgets mémoire par plateforme, estimation avant import, annulation à chaque phase lourde, format de sauvegarde binaire/streaming, stress tests sur grandes bibliothèques.</x:v>
      </x:c>
    </x:row>
    <x:row r="37" ht="108" customHeight="1">
      <x:c r="A37" s="10" t="str">
        <x:v>A32</x:v>
      </x:c>
      <x:c r="B37" s="10" t="str">
        <x:v>P1</x:v>
      </x:c>
      <x:c r="C37" s="10" t="str">
        <x:v>Non certifié</x:v>
      </x:c>
      <x:c r="D37" s="10" t="str">
        <x:v>Gameplay</x:v>
      </x:c>
      <x:c r="E37" s="10" t="str">
        <x:v>Fidélité 1:1 aux règles Project DIVA</x:v>
      </x:c>
      <x:c r="F37" s="10" t="str">
        <x:v>Les profils de jugement, trajectoires et bonus actuels sont ceux de DIVA PULSE. Aucun banc de comparaison exhaustive par édition SEGA n’a été exécuté.</x:v>
      </x:c>
      <x:c r="G37" s="10" t="str">
        <x:v>À faire : choisir une édition de référence, spécifier chaque type de note/bonus, fixtures d’entrée et score attendu, tests simultanés/maintien/chaînes ; séparer les records par règleset.</x:v>
      </x:c>
    </x:row>
    <x:row r="38" ht="108" customHeight="1">
      <x:c r="A38" s="26" t="str">
        <x:v>A33</x:v>
      </x:c>
      <x:c r="B38" s="26" t="str">
        <x:v>P2</x:v>
      </x:c>
      <x:c r="C38" s="26" t="str">
        <x:v>Avancé, piste faciale éditable; montage complet ouvert</x:v>
      </x:c>
      <x:c r="D38" s="26" t="str">
        <x:v>Director</x:v>
      </x:c>
      <x:c r="E38" s="26" t="str">
        <x:v>Outils de montage avancés</x:v>
      </x:c>
      <x:c r="F38" s="26" t="str">
        <x:v>Les clips, fondus, formations, caméras et lumières sont éditables ; l’éditeur ne dispose pas encore d’une ergonomie complète de logiciel de montage avec toutes les courbes, multi-sélections et raccourcis.</x:v>
      </x:c>
      <x:c r="G38" s="26" t="str">
        <x:v>À faire : sélection multiple de clés, copier/coller entre pistes, tangentes visuelles, accrochage aux mesures, navigation clavier, prévisualisation sonore synchronisée et mixage de root motion.</x:v>
      </x:c>
    </x:row>
    <x:row r="39" ht="108" customHeight="1">
      <x:c r="A39" s="10" t="str">
        <x:v>A34</x:v>
      </x:c>
      <x:c r="B39" s="10" t="str">
        <x:v>P2</x:v>
      </x:c>
      <x:c r="C39" s="10" t="str">
        <x:v>Ouvert</x:v>
      </x:c>
      <x:c r="D39" s="10" t="str">
        <x:v>Director</x:v>
      </x:c>
      <x:c r="E39" s="10" t="str">
        <x:v>Accessoires et nouvelles scènes générées</x:v>
      </x:c>
      <x:c r="F39" s="10" t="str">
        <x:v>Auto Show assemble les scènes présentes ; il ne crée pas de nouveaux maillages. Les accessoires complexes et leurs interactions ne sont pas un système complet validé.</x:v>
      </x:c>
      <x:c r="G39" s="10" t="str">
        <x:v>À faire : bibliothèque de props, rattachements aux os, clés d’activation, collisions de mise en scène, génération de placement contrainte et mesure des coûts graphiques.</x:v>
      </x:c>
    </x:row>
    <x:row r="40" ht="108" customHeight="1">
      <x:c r="A40" s="26" t="str">
        <x:v>A35</x:v>
      </x:c>
      <x:c r="B40" s="26" t="str">
        <x:v>P1</x:v>
      </x:c>
      <x:c r="C40" s="26" t="str">
        <x:v>Toujours non validé après fermeture</x:v>
      </x:c>
      <x:c r="D40" s="26" t="str">
        <x:v>Production</x:v>
      </x:c>
      <x:c r="E40" s="26" t="str">
        <x:v>Persistance après fermeture et installation hors ligne</x:v>
      </x:c>
      <x:c r="F40" s="26" t="str">
        <x:v>Les essais graphiques utilisent un document d’origine opaque : stockage TEMPORAIRE. La navigation du navigateur vers le serveur est bloquée par l’infrastructure de cette session.</x:v>
      </x:c>
      <x:c r="G40" s="26" t="str">
        <x:v>Diagnostic quota/protection, demande explicite persist(), refus géré. Lecture opaque TEMPORAIRE : persistance après fermeture et installation hors ligne non vérifiées. Lanceur testé séparément.</x:v>
      </x:c>
    </x:row>
    <x:row r="41" ht="108" customHeight="1">
      <x:c r="A41" s="10" t="str">
        <x:v>A36</x:v>
      </x:c>
      <x:c r="B41" s="10" t="str">
        <x:v>P1</x:v>
      </x:c>
      <x:c r="C41" s="10" t="str">
        <x:v>Non exécuté</x:v>
      </x:c>
      <x:c r="D41" s="10" t="str">
        <x:v>Production</x:v>
      </x:c>
      <x:c r="E41" s="10" t="str">
        <x:v>Safari/iPhone et contrôleurs physiques</x:v>
      </x:c>
      <x:c r="F41" s="10" t="str">
        <x:v>Les contrôles clavier/manette/MIDI automatisés ne mesurent pas un contrôleur physique, la latence réelle Bluetooth ni Safari/iOS.</x:v>
      </x:c>
      <x:c r="G41" s="10" t="str">
        <x:v>À faire : matrice d’appareils, latence audio/entrée/affichage, multitouch, déconnexion/reconnexion, suspension de l’onglet et reprise, clavier international.</x:v>
      </x:c>
    </x:row>
    <x:row r="42" ht="108" customHeight="1">
      <x:c r="A42" s="26" t="str">
        <x:v>A37</x:v>
      </x:c>
      <x:c r="B42" s="26" t="str">
        <x:v>P1</x:v>
      </x:c>
      <x:c r="C42" s="26" t="str">
        <x:v>Avancé, coordination native à valider</x:v>
      </x:c>
      <x:c r="D42" s="26" t="str">
        <x:v>Sauvegarde</x:v>
      </x:c>
      <x:c r="E42" s="26" t="str">
        <x:v>Conflits entre plusieurs fenêtres</x:v>
      </x:c>
      <x:c r="F42" s="26" t="str">
        <x:v>Le changement de version IndexedDB est géré, mais aucun protocole général de résolution des éditions concurrentes par deux fenêtres de même version n’est présent.</x:v>
      </x:c>
      <x:c r="G42" s="26" t="str">
        <x:v>Réservation exclusive Web Locks lorsqu’IndexedDB est actif, seconde fenêtre en lecture/export uniquement, refus des mutations, libération à la sortie. Test de deux contextes JS à gestionnaire de verrous simulé et test UI du refus. Anciennes versions exclues. Navigation navigateur de test bloquée : vraie coordination IndexedDB de plusieurs fenêtres non exécutée.</x:v>
      </x:c>
    </x:row>
    <x:row r="43" ht="108" customHeight="1">
      <x:c r="A43" s="10" t="str">
        <x:v>A38</x:v>
      </x:c>
      <x:c r="B43" s="10" t="str">
        <x:v>P2</x:v>
      </x:c>
      <x:c r="C43" s="10" t="str">
        <x:v>Ouvert</x:v>
      </x:c>
      <x:c r="D43" s="10" t="str">
        <x:v>Architecture</x:v>
      </x:c>
      <x:c r="E43" s="10" t="str">
        <x:v>Accumulation des extensions historiques</x:v>
      </x:c>
      <x:c r="F43" s="10" t="str">
        <x:v>Le build fonctionne sans dépendance, mais plusieurs extensions remplacent ou enveloppent les méthodes de l’application. Certaines sources sont très compactes et difficiles à relire.</x:v>
      </x:c>
      <x:c r="G43" s="10" t="str">
        <x:v>À faire progressivement : API de services explicites, modules métier, formatage des sources, tests d’intégration contractuels. Garder le HTML autonome comme sortie, pas comme source de développement.</x:v>
      </x:c>
    </x:row>
    <x:row r="44" ht="108" customHeight="1">
      <x:c r="A44" s="26" t="str">
        <x:v>A39</x:v>
      </x:c>
      <x:c r="B44" s="26" t="str">
        <x:v>P2</x:v>
      </x:c>
      <x:c r="C44" s="26" t="str">
        <x:v>Ouvert</x:v>
      </x:c>
      <x:c r="D44" s="26" t="str">
        <x:v>Direction artistique</x:v>
      </x:c>
      <x:c r="E44" s="26" t="str">
        <x:v>Personnages et PV finalisés</x:v>
      </x:c>
      <x:c r="F44" s="26" t="str">
        <x:v>Les silhouettes procédurales et modèles de diagnostic ne constituent pas des personnages Vocaloid détaillés. Les chansons, costumes et chorégraphies officiels ne sont pas inclus.</x:v>
      </x:c>
      <x:c r="G44" s="26" t="str">
        <x:v>À faire : pipeline d’assets finaux fournis avec leur provenance, galerie et contrôle de compatibilité, presets artistiques et cohérence de scène ; ne pas assimiler une fixture technique à un personnage final.</x:v>
      </x:c>
    </x:row>
    <x:row r="45" ht="108" customHeight="1">
      <x:c r="A45" s="10" t="str">
        <x:v>A40</x:v>
      </x:c>
      <x:c r="B45" s="10" t="str">
        <x:v>P2</x:v>
      </x:c>
      <x:c r="C45" s="10" t="str">
        <x:v>Dépôt V27 consigné dans le reçu séparé</x:v>
      </x:c>
      <x:c r="D45" s="10" t="str">
        <x:v>Livraison et cloud</x:v>
      </x:c>
      <x:c r="E45" s="10" t="str">
        <x:v>Dépôts Google Drive et absence de synchronisation du jeu</x:v>
      </x:c>
      <x:c r="F45" s="10" t="str">
        <x:v>Le dossier dédié a été relu ; le connecteur expose maintenant uniquement des actions de lecture. Aucune création de dossier ou téléversement V23 n’a pu être exécuté. Le jeu ne synchronise pas automatiquement sa bibliothèque avec Drive.</x:v>
      </x:c>
      <x:c r="G45" s="10" t="str">
        <x:v>Livrables locaux vérifiés ; le résultat du dépôt Google Drive doit être confirmé par les retours du connecteur et un reçu séparé. Pas de synchronisation des sauvegardes du navigateur.</x:v>
      </x:c>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cdd490aed9df4470"/>
  </x:tableParts>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30" hidden="0" customWidth="1"/>
    <x:col min="3" max="3" width="40" hidden="0" customWidth="1"/>
    <x:col min="4" max="4" width="44" hidden="0" customWidth="1"/>
    <x:col min="5" max="5" width="44" hidden="0" customWidth="1"/>
    <x:col min="6" max="6" width="44" hidden="0" customWidth="1"/>
  </x:cols>
  <x:sheetData>
    <x:row r="1" ht="24" customHeight="1">
      <x:c r="A1" s="140" t="str">
        <x:v>V29 / historique local, à ne pas confondre avec main</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ID</x:v>
      </x:c>
      <x:c r="B5" s="22" t="str">
        <x:v>Domaine</x:v>
      </x:c>
      <x:c r="C5" s="22" t="str">
        <x:v>Livrable</x:v>
      </x:c>
      <x:c r="D5" s="22" t="str">
        <x:v>Changement</x:v>
      </x:c>
      <x:c r="E5" s="22" t="str">
        <x:v>Validation</x:v>
      </x:c>
      <x:c r="F5" s="22" t="str">
        <x:v>Fichiers</x:v>
      </x:c>
    </x:row>
    <x:row r="6" ht="108" customHeight="1">
      <x:c r="A6" s="26" t="str">
        <x:v>DIR-01</x:v>
      </x:c>
      <x:c r="B6" s="26" t="str">
        <x:v>Director</x:v>
      </x:c>
      <x:c r="C6" s="26" t="str">
        <x:v>Sélection multiple de clips</x:v>
      </x:c>
      <x:c r="D6" s="26" t="str">
        <x:v>Clic, Ctrl/Cmd/Maj, cases tactiles et sélectionner tout intégrés.</x:v>
      </x:c>
      <x:c r="E6" s="26" t="str">
        <x:v>Sélection de deux danseurs et cases en portrait vérifiées dans le navigateur.</x:v>
      </x:c>
      <x:c r="F6" s="26" t="str">
        <x:v>src/director-app.js ; src/director-edit.js ; src/director-core.js ; AUDIT_V28.json A33</x:v>
      </x:c>
    </x:row>
    <x:row r="7" ht="108" customHeight="1">
      <x:c r="A7" s="10" t="str">
        <x:v>DIR-02</x:v>
      </x:c>
      <x:c r="B7" s="10" t="str">
        <x:v>Director</x:v>
      </x:c>
      <x:c r="C7" s="10" t="str">
        <x:v>Copie et collage groupés</x:v>
      </x:c>
      <x:c r="D7" s="10" t="str">
        <x:v>Copier un instantané et coller au curseur sur les mêmes danseurs en conservant les écarts.</x:v>
      </x:c>
      <x:c r="E7" s="10" t="str">
        <x:v>Collage multi-danseurs ; collisions et dépassements refusés sans modification partielle.</x:v>
      </x:c>
      <x:c r="F7" s="10" t="str">
        <x:v>src/director-app.js ; src/director-edit.js ; src/director-core.js ; AUDIT_V28.json A33</x:v>
      </x:c>
    </x:row>
    <x:row r="8" ht="108" customHeight="1">
      <x:c r="A8" s="26" t="str">
        <x:v>DIR-03</x:v>
      </x:c>
      <x:c r="B8" s="26" t="str">
        <x:v>Director</x:v>
      </x:c>
      <x:c r="C8" s="26" t="str">
        <x:v>Déplacement groupé et suppression</x:v>
      </x:c>
      <x:c r="D8" s="26" t="str">
        <x:v>Décalage numérique, glisser du groupe et suppression en une opération.</x:v>
      </x:c>
      <x:c r="E8" s="26" t="str">
        <x:v>Déplacements, annuler/rétablir et suppression testés ; notes inchangées.</x:v>
      </x:c>
      <x:c r="F8" s="26" t="str">
        <x:v>src/director-app.js ; src/director-edit.js ; src/director-core.js ; AUDIT_V28.json A33</x:v>
      </x:c>
    </x:row>
    <x:row r="9" ht="108" customHeight="1">
      <x:c r="A9" s="10" t="str">
        <x:v>DIR-04</x:v>
      </x:c>
      <x:c r="B9" s="10" t="str">
        <x:v>Director</x:v>
      </x:c>
      <x:c r="C9" s="10" t="str">
        <x:v>Références de sélection après tri</x:v>
      </x:c>
      <x:c r="D9" s="10" t="str">
        <x:v>Effacer la sélection après mutation, reprise, annuler ou rétablir.</x:v>
      </x:c>
      <x:c r="E9" s="10" t="str">
        <x:v>Aucune action ne cible l'ancien indice après normalisation.</x:v>
      </x:c>
      <x:c r="F9" s="10" t="str">
        <x:v>src/director-app.js ; src/director-edit.js ; src/director-core.js ; AUDIT_V28.json A33</x:v>
      </x:c>
    </x:row>
    <x:row r="10" ht="108" customHeight="1">
      <x:c r="A10" s="26" t="str">
        <x:v>DIR-05</x:v>
      </x:c>
      <x:c r="B10" s="26" t="str">
        <x:v>Director</x:v>
      </x:c>
      <x:c r="C10" s="26" t="str">
        <x:v>Accessibilité de la sélection</x:v>
      </x:c>
      <x:c r="D10" s="26" t="str">
        <x:v>Libellés, aria-pressed, Entrée/Espace et cases ajoutés ; groupe visible sans seule couleur.</x:v>
      </x:c>
      <x:c r="E10" s="26" t="str">
        <x:v>Tests clavier et viewport 390×844 ; validation matérielle séparée.</x:v>
      </x:c>
      <x:c r="F10" s="26" t="str">
        <x:v>src/director-app.js ; src/director-edit.js ; src/director-core.js ; AUDIT_V28.json A33</x:v>
      </x:c>
    </x:row>
    <x:row r="11" ht="108" customHeight="1">
      <x:c r="A11" s="10" t="str">
        <x:v>SAV-01</x:v>
      </x:c>
      <x:c r="B11" s="10" t="str">
        <x:v>Sauvegarde et intégrité</x:v>
      </x:c>
      <x:c r="C11" s="10" t="str">
        <x:v>Publication Director atomique</x:v>
      </x:c>
      <x:c r="D11" s="10" t="str">
        <x:v>Une transaction écrit la scène et supprime le brouillon ; les wrappers relaient les deux opérations.</x:v>
      </x:c>
      <x:c r="E11" s="10" t="str">
        <x:v>Refus de publication : scène et brouillon intacts ; réussite : aucune récupération obsolète.</x:v>
      </x:c>
      <x:c r="F11" s="10" t="str">
        <x:v>src/services.js ; src/director-app.js ; src/enhancements.js ; src/reliability.js</x:v>
      </x:c>
    </x:row>
    <x:row r="12" ht="108" customHeight="1">
      <x:c r="A12" s="26" t="str">
        <x:v>SAV-02</x:v>
      </x:c>
      <x:c r="B12" s="26" t="str">
        <x:v>Sauvegarde et intégrité</x:v>
      </x:c>
      <x:c r="C12" s="26" t="str">
        <x:v>Validation des suppressions atomiques</x:v>
      </x:c>
      <x:c r="D12" s="26" t="str">
        <x:v>Prévalider collections et identifiants ; refuser écriture/suppression du même identifiant.</x:v>
      </x:c>
      <x:c r="E12" s="26" t="str">
        <x:v>Tests mémoire, lecture seule, suppression seule et notification unique ; IndexedDB natif reste à tester.</x:v>
      </x:c>
      <x:c r="F12" s="26" t="str">
        <x:v>src/services.js ; src/director-app.js ; src/enhancements.js ; src/reliability.js</x:v>
      </x:c>
    </x:row>
    <x:row r="13" ht="108" customHeight="1">
      <x:c r="A13" s="10" t="str">
        <x:v>QA-05</x:v>
      </x:c>
      <x:c r="B13" s="10" t="str">
        <x:v>Tests et validation</x:v>
      </x:c>
      <x:c r="C13" s="10" t="str">
        <x:v>Régression logiques V28 et opérations V29</x:v>
      </x:c>
      <x:c r="D13" s="10" t="str">
        <x:v>Réexécuter toutes les suites Node sur la sortie V29 et conserver les journaux.</x:v>
      </x:c>
      <x:c r="E13" s="10" t="str">
        <x:v>821 tests sans échec dans la passe de livraison, sous réserve du rapport final.</x:v>
      </x:c>
      <x:c r="F13" s="10" t="str">
        <x:v>tests/ ; qa/v29/ ; AUDIT_V28.json A35–A37</x:v>
      </x:c>
    </x:row>
    <x:row r="14" ht="108" customHeight="1">
      <x:c r="A14" s="26" t="str">
        <x:v>QA-06</x:v>
      </x:c>
      <x:c r="B14" s="26" t="str">
        <x:v>Tests et validation</x:v>
      </x:c>
      <x:c r="C14" s="26" t="str">
        <x:v>Parcours Director V29 dans Chromium</x:v>
      </x:c>
      <x:c r="D14" s="26" t="str">
        <x:v>Import MMD, montage, rendu, refus, export et sauvegarde testés via l'interface.</x:v>
      </x:c>
      <x:c r="E14" s="26" t="str">
        <x:v>Rapport navigateur V29 et captures, sans prétention de persistance native.</x:v>
      </x:c>
      <x:c r="F14" s="26" t="str">
        <x:v>tests/ ; qa/v29/ ; AUDIT_V28.json A35–A37</x:v>
      </x:c>
    </x:row>
    <x:row r="15" ht="108" customHeight="1">
      <x:c r="A15" s="10" t="str">
        <x:v>PUB-07</x:v>
      </x:c>
      <x:c r="B15" s="10" t="str">
        <x:v>Publication et livraison</x:v>
      </x:c>
      <x:c r="C15" s="10" t="str">
        <x:v>Versions et commandes cohérentes</x:v>
      </x:c>
      <x:c r="D15" s="10" t="str">
        <x:v>Aligner package, core, HTML, cache et scripts sur V29.</x:v>
      </x:c>
      <x:c r="E15" s="10" t="str">
        <x:v>Vérification de cohérence de version et commandes de test présentes.</x:v>
      </x:c>
      <x:c r="F15" s="10" t="str">
        <x:v>package.json ; build.py ; README.md ; docs/PUBLICATION_GITHUB.md ; qa/v29/publication.json</x:v>
      </x:c>
    </x:row>
    <x:row r="16" ht="108" customHeight="1">
      <x:c r="A16" s="26" t="str">
        <x:v>PUB-08</x:v>
      </x:c>
      <x:c r="B16" s="26" t="str">
        <x:v>Publication et livraison</x:v>
      </x:c>
      <x:c r="C16" s="26" t="str">
        <x:v>Jeu autonome reconstruit</x:v>
      </x:c>
      <x:c r="D16" s="26" t="str">
        <x:v>Recompiler index.html et DIVA_PULSE_JOUER.html depuis tous les modules récupérés.</x:v>
      </x:c>
      <x:c r="E16" s="26" t="str">
        <x:v>Deux HTML identiques ; aucune dépendance CDN ajoutée ; tests du build.</x:v>
      </x:c>
      <x:c r="F16" s="26" t="str">
        <x:v>package.json ; build.py ; README.md ; docs/PUBLICATION_GITHUB.md ; qa/v29/publication.json</x:v>
      </x:c>
    </x:row>
    <x:row r="17" ht="108" customHeight="1">
      <x:c r="A17" s="10" t="str">
        <x:v>ARC-05</x:v>
      </x:c>
      <x:c r="B17" s="10" t="str">
        <x:v>Architecture et maintenance</x:v>
      </x:c>
      <x:c r="C17" s="10" t="str">
        <x:v>Séparation des opérations de montage</x:v>
      </x:c>
      <x:c r="D17" s="10" t="str">
        <x:v>Module director-edit.js pur, immuable et testé séparément.</x:v>
      </x:c>
      <x:c r="E17" s="10" t="str">
        <x:v>Helpers sans DOM/GPU/stockage ; erreurs n'altérant pas le document source.</x:v>
      </x:c>
      <x:c r="F17" s="10" t="str">
        <x:v>build.py ; src/services.js ; src/autoshow-app.js ; src/mmd-import-app.js ; AUDIT_V28.json A38</x:v>
      </x:c>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e36b841a99ec4d74"/>
  </x:tableParts>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38" hidden="0" customWidth="1"/>
    <x:col min="3" max="3" width="18" hidden="0" customWidth="1"/>
    <x:col min="4" max="4" width="20" hidden="0" customWidth="1"/>
    <x:col min="5" max="5" width="50" hidden="0" customWidth="1"/>
    <x:col min="6" max="6" width="65" hidden="0" customWidth="1"/>
  </x:cols>
  <x:sheetData>
    <x:row r="1" ht="24" customHeight="1">
      <x:c r="A1" s="140" t="str">
        <x:v>DIVA PULSE  /  Sources et traçabilité</x:v>
      </x:c>
      <x:c r="B1" s="140"/>
      <x:c r="C1" s="140"/>
      <x:c r="D1" s="140"/>
      <x:c r="E1" s="140"/>
      <x:c r="F1" s="140"/>
    </x:row>
    <x:row r="2" ht="24" customHeight="1">
      <x:c r="A2" s="140"/>
      <x:c r="B2" s="140"/>
      <x:c r="C2" s="140"/>
      <x:c r="D2" s="140"/>
      <x:c r="E2" s="140"/>
      <x:c r="F2" s="140"/>
    </x:row>
    <x:row r="3" ht="44" customHeight="1">
      <x:c r="A3" s="18" t="str">
        <x:v>Références historiques conservées. Les sources V36 commencent à la ligne 28 ; base V35, archives, mouvement réduit et preuves du build courant.</x:v>
      </x:c>
      <x:c r="B3" s="10"/>
      <x:c r="C3" s="10"/>
      <x:c r="D3" s="10"/>
      <x:c r="E3" s="10"/>
      <x:c r="F3" s="10"/>
    </x:row>
    <x:row r="4" ht="24" customHeight="1">
      <x:c r="A4" s="10"/>
      <x:c r="B4" s="10"/>
      <x:c r="C4" s="10"/>
      <x:c r="D4" s="10"/>
      <x:c r="E4" s="10"/>
      <x:c r="F4" s="10"/>
    </x:row>
    <x:row r="5" ht="32" customHeight="1">
      <x:c r="A5" s="22" t="str">
        <x:v>Type</x:v>
      </x:c>
      <x:c r="B5" s="22" t="str">
        <x:v>Source</x:v>
      </x:c>
      <x:c r="C5" s="22" t="str">
        <x:v>Version</x:v>
      </x:c>
      <x:c r="D5" s="22" t="str">
        <x:v>Nature</x:v>
      </x:c>
      <x:c r="E5" s="22" t="str">
        <x:v>Usage</x:v>
      </x:c>
      <x:c r="F5" s="22" t="str">
        <x:v>Lien</x:v>
      </x:c>
    </x:row>
    <x:row r="6" ht="108" customHeight="1">
      <x:c r="A6" s="26" t="str">
        <x:v>Base GitHub</x:v>
      </x:c>
      <x:c r="B6" s="26" t="str">
        <x:v>Commit de main relu</x:v>
      </x:c>
      <x:c r="C6" s="26" t="str">
        <x:v>1552fd8</x:v>
      </x:c>
      <x:c r="D6" s="26" t="str">
        <x:v>Code</x:v>
      </x:c>
      <x:c r="E6" s="26" t="str">
        <x:v>Base de la reprise</x:v>
      </x:c>
      <x:c r="F6" s="26" t="str">
        <x:v>https://github.com/darknigthmare/Diva-Pulse/commit/1552fd8f89a27f0914a203f2d973b3beee17f4e5</x:v>
      </x:c>
    </x:row>
    <x:row r="7" ht="108" customHeight="1">
      <x:c r="A7" s="10" t="str">
        <x:v>Proposition</x:v>
      </x:c>
      <x:c r="B7" s="10" t="str">
        <x:v>PR ouverte</x:v>
      </x:c>
      <x:c r="C7" s="10" t="str">
        <x:v>#1</x:v>
      </x:c>
      <x:c r="D7" s="10" t="str">
        <x:v>GitHub</x:v>
      </x:c>
      <x:c r="E7" s="10" t="str">
        <x:v>Non fusionnée</x:v>
      </x:c>
      <x:c r="F7" s="10" t="str">
        <x:v>https://github.com/darknigthmare/Diva-Pulse/pull/1</x:v>
      </x:c>
    </x:row>
    <x:row r="8" ht="108" customHeight="1">
      <x:c r="A8" s="26" t="str">
        <x:v>Excel précédent</x:v>
      </x:c>
      <x:c r="B8" s="26" t="str">
        <x:v>DIVA_PULSE_MANQUANTS_V29.xlsx</x:v>
      </x:c>
      <x:c r="C8" s="26" t="str">
        <x:v>27/10/2026</x:v>
      </x:c>
      <x:c r="D8" s="26" t="str">
        <x:v>Pièce jointe</x:v>
      </x:c>
      <x:c r="E8" s="26" t="str">
        <x:v>109 lignes initiales ; variantes réconciliées</x:v>
      </x:c>
      <x:c r="F8" s="26" t="str">
        <x:v>Pièce jointe de la conversation</x:v>
      </x:c>
    </x:row>
    <x:row r="9" ht="108" customHeight="1">
      <x:c r="A9" s="10" t="str">
        <x:v>Suivi lisible machine</x:v>
      </x:c>
      <x:c r="B9" s="10" t="str">
        <x:v>BACKLOG_V30.json</x:v>
      </x:c>
      <x:c r="C9" s="10" t="str">
        <x:v>30.0.0</x:v>
      </x:c>
      <x:c r="D9" s="10" t="str">
        <x:v>JSON</x:v>
      </x:c>
      <x:c r="E9" s="10" t="str">
        <x:v>Références, actions et critères complets</x:v>
      </x:c>
      <x:c r="F9" s="10" t="str">
        <x:v>https://github.com/darknigthmare/Diva-Pulse/blob/feat/v30-director-workflow/planning/BACKLOG_V30.json</x:v>
      </x:c>
    </x:row>
    <x:row r="10" ht="108" customHeight="1">
      <x:c r="A10" s="26" t="str">
        <x:v>Logique</x:v>
      </x:c>
      <x:c r="B10" s="26" t="str">
        <x:v>v30.test.cjs</x:v>
      </x:c>
      <x:c r="C10" s="26" t="str">
        <x:v>52 cas</x:v>
      </x:c>
      <x:c r="D10" s="26" t="str">
        <x:v>Node</x:v>
      </x:c>
      <x:c r="E10" s="26" t="str">
        <x:v>Contrats de grille, scission, import et raccourcis</x:v>
      </x:c>
      <x:c r="F10" s="26" t="str">
        <x:v>https://github.com/darknigthmare/Diva-Pulse/blob/feat/v30-director-workflow/tests/v30.test.cjs</x:v>
      </x:c>
    </x:row>
    <x:row r="11" ht="108" customHeight="1">
      <x:c r="A11" s="10" t="str">
        <x:v>UI</x:v>
      </x:c>
      <x:c r="B11" s="10" t="str">
        <x:v>v30_browser_test.py</x:v>
      </x:c>
      <x:c r="C11" s="10" t="str">
        <x:v>18 contrôles</x:v>
      </x:c>
      <x:c r="D11" s="10" t="str">
        <x:v>Chromium</x:v>
      </x:c>
      <x:c r="E11" s="10" t="str">
        <x:v>Environnement document/HTTP explicitement tracé</x:v>
      </x:c>
      <x:c r="F11" s="10" t="str">
        <x:v>https://github.com/darknigthmare/Diva-Pulse/blob/feat/v30-director-workflow/tests/v30_browser_test.py</x:v>
      </x:c>
    </x:row>
    <x:row r="12" ht="108" customHeight="1">
      <x:c r="A12" s="26" t="str">
        <x:v>CI</x:v>
      </x:c>
      <x:c r="B12" s="26" t="str">
        <x:v>quality.yml</x:v>
      </x:c>
      <x:c r="C12" s="26" t="str">
        <x:v>V30</x:v>
      </x:c>
      <x:c r="D12" s="26" t="str">
        <x:v>Actions</x:v>
      </x:c>
      <x:c r="E12" s="26" t="str">
        <x:v>Lecture seule ; aucun push vers main</x:v>
      </x:c>
      <x:c r="F12" s="26" t="str">
        <x:v>https://github.com/darknigthmare/Diva-Pulse/blob/feat/v30-director-workflow/.github/workflows/quality.yml</x:v>
      </x:c>
    </x:row>
    <x:row r="13" ht="108" customHeight="1">
      <x:c r="A13" s="10" t="str">
        <x:v>Contrat d'édition</x:v>
      </x:c>
      <x:c r="B13" s="10" t="str">
        <x:v>V30_MONTAGE.md</x:v>
      </x:c>
      <x:c r="C13" s="10" t="str">
        <x:v>V30</x:v>
      </x:c>
      <x:c r="D13" s="10" t="str">
        <x:v>Documentation</x:v>
      </x:c>
      <x:c r="E13" s="10" t="str">
        <x:v>Unités, limites et reproduction</x:v>
      </x:c>
      <x:c r="F13" s="10" t="str">
        <x:v>https://github.com/darknigthmare/Diva-Pulse/blob/feat/v30-director-workflow/docs/V30_MONTAGE.md</x:v>
      </x:c>
    </x:row>
    <x:row r="14" ht="85" customHeight="1">
      <x:c r="A14" s="65" t="str">
        <x:v>V32 code</x:v>
      </x:c>
      <x:c r="B14" s="65" t="str">
        <x:v>Sources intégrées</x:v>
      </x:c>
      <x:c r="C14" s="65" t="str">
        <x:v>f4fa7d6</x:v>
      </x:c>
      <x:c r="D14" s="65" t="str">
        <x:v>GitHub</x:v>
      </x:c>
      <x:c r="E14" s="65" t="str">
        <x:v>Code V31 + V32 vérifié</x:v>
      </x:c>
      <x:c r="F14" s="65" t="str">
        <x:v>https://github.com/darknigthmare/Diva-Pulse/commit/f4fa7d6d4baca70313d63622e8e7f0434c89ef97</x:v>
      </x:c>
    </x:row>
    <x:row r="15" ht="85" customHeight="1">
      <x:c r="A15" s="65" t="str">
        <x:v>V32 native</x:v>
      </x:c>
      <x:c r="B15" s="65" t="str">
        <x:v>Exécution d'intégration</x:v>
      </x:c>
      <x:c r="C15" s="65" t="str">
        <x:v>40522984445</x:v>
      </x:c>
      <x:c r="D15" s="65" t="str">
        <x:v>Actions</x:v>
      </x:c>
      <x:c r="E15" s="65" t="str">
        <x:v>947 logique, 10 lanceur, 114 navigateur</x:v>
      </x:c>
      <x:c r="F15" s="65" t="str">
        <x:v>https://github.com/darknigthmare/Diva-Pulse/actions/runs/40522984445</x:v>
      </x:c>
    </x:row>
    <x:row r="16" ht="85" customHeight="1">
      <x:c r="A16" s="65" t="str">
        <x:v>V32 audit</x:v>
      </x:c>
      <x:c r="B16" s="65" t="str">
        <x:v>BACKLOG_V32.json</x:v>
      </x:c>
      <x:c r="C16" s="65" t="str">
        <x:v>123 points</x:v>
      </x:c>
      <x:c r="D16" s="65" t="str">
        <x:v>JSON</x:v>
      </x:c>
      <x:c r="E16" s="65" t="str">
        <x:v>Détail courant et limites</x:v>
      </x:c>
      <x:c r="F16" s="65" t="str">
        <x:v>https://github.com/darknigthmare/Diva-Pulse/blob/feat/v30-director-workflow/planning/BACKLOG_V32.json</x:v>
      </x:c>
    </x:row>
    <x:row r="17" ht="85" customHeight="1">
      <x:c r="A17" s="65" t="str">
        <x:v>V32 guide</x:v>
      </x:c>
      <x:c r="B17" s="65" t="str">
        <x:v>V32_BOUCLES_SAUVEGARDES.md</x:v>
      </x:c>
      <x:c r="C17" s="65" t="str">
        <x:v>Director 19 / 20</x:v>
      </x:c>
      <x:c r="D17" s="65" t="str">
        <x:v>Documentation</x:v>
      </x:c>
      <x:c r="E17" s="65" t="str">
        <x:v>Unités, reprise et schémas</x:v>
      </x:c>
      <x:c r="F17" s="65" t="str">
        <x:v>https://github.com/darknigthmare/Diva-Pulse/blob/feat/v30-director-workflow/docs/V32_BOUCLES_SAUVEGARDES.md</x:v>
      </x:c>
    </x:row>
    <x:row r="18" ht="85" customHeight="1">
      <x:c r="A18" s="65" t="str">
        <x:v>Spécification</x:v>
      </x:c>
      <x:c r="B18" s="65" t="str">
        <x:v>Web Audio API</x:v>
      </x:c>
      <x:c r="C18" s="65" t="str">
        <x:v>W3C REC 2021</x:v>
      </x:c>
      <x:c r="D18" s="65" t="str">
        <x:v>Source primaire publique</x:v>
      </x:c>
      <x:c r="E18" s="65" t="str">
        <x:v>Boucle native AudioBufferSourceNode</x:v>
      </x:c>
      <x:c r="F18" s="65" t="str">
        <x:v>https://www.w3.org/TR/webaudio-1.0/#looping-AudioBufferSourceNode</x:v>
      </x:c>
    </x:row>
    <x:row r="19" ht="65" customHeight="1">
      <x:c r="A19" s="261" t="str">
        <x:v>V34</x:v>
      </x:c>
      <x:c r="B19" s="261" t="str">
        <x:v>Code et suivi</x:v>
      </x:c>
      <x:c r="C19" s="261" t="str">
        <x:v>PR #1</x:v>
      </x:c>
      <x:c r="D19" s="261" t="str">
        <x:v>https://github.com/darknigthmare/Diva-Pulse/pull/1</x:v>
      </x:c>
      <x:c r="E19" s="261" t="str">
        <x:v>2026-10-27</x:v>
      </x:c>
      <x:c r="F19" s="261" t="str">
        <x:v>Code, Excel et vérification native dans la même proposition.</x:v>
      </x:c>
    </x:row>
    <x:row r="20" ht="65" customHeight="1">
      <x:c r="A20" s="261" t="str">
        <x:v>V34</x:v>
      </x:c>
      <x:c r="B20" s="261" t="str">
        <x:v>Transactions</x:v>
      </x:c>
      <x:c r="C20" s="261" t="str">
        <x:v>IDBTransaction</x:v>
      </x:c>
      <x:c r="D20" s="261" t="str">
        <x:v>https://developer.mozilla.org/en-US/docs/Web/API/IDBTransaction</x:v>
      </x:c>
      <x:c r="E20" s="261" t="str">
        <x:v>2026-10-27</x:v>
      </x:c>
      <x:c r="F20" s="261" t="str">
        <x:v>Relecture et suppression dans une seule transaction ; attendre complete.</x:v>
      </x:c>
    </x:row>
    <x:row r="21" ht="65" customHeight="1">
      <x:c r="A21" s="261" t="str">
        <x:v>V34</x:v>
      </x:c>
      <x:c r="B21" s="261" t="str">
        <x:v>Audio</x:v>
      </x:c>
      <x:c r="C21" s="261" t="str">
        <x:v>État du contexte</x:v>
      </x:c>
      <x:c r="D21" s="261" t="str">
        <x:v>https://developer.mozilla.org/en-US/docs/Web/API/BaseAudioContext/state</x:v>
      </x:c>
      <x:c r="E21" s="261" t="str">
        <x:v>2026-10-27</x:v>
      </x:c>
      <x:c r="F21" s="261" t="str">
        <x:v>États suspended/interrupted/closed et reprise explicite.</x:v>
      </x:c>
    </x:row>
    <x:row r="22" ht="15" hidden="0" customHeight="1">
      <x:c r="A22" s="65" t="str">
        <x:v>V35</x:v>
      </x:c>
      <x:c r="B22" s="65" t="str">
        <x:v>Code et suivi</x:v>
      </x:c>
      <x:c r="C22" s="65" t="str">
        <x:v>PR #2</x:v>
      </x:c>
      <x:c r="D22" s="65" t="str">
        <x:v>GitHub</x:v>
      </x:c>
      <x:c r="E22" s="65" t="str">
        <x:v>Proposition en revue</x:v>
      </x:c>
      <x:c r="F22" s="65" t="str">
        <x:v>https://github.com/darknigthmare/Diva-Pulse/pull/2</x:v>
      </x:c>
    </x:row>
    <x:row r="23" ht="24" hidden="0" customHeight="1">
      <x:c r="A23" s="65" t="str">
        <x:v>V35 règles</x:v>
      </x:c>
      <x:c r="B23" s="65" t="str">
        <x:v>REGLES_DIVA_PULSE_V1.md</x:v>
      </x:c>
      <x:c r="C23" s="65" t="str">
        <x:v>rules4 / contrat 1</x:v>
      </x:c>
      <x:c r="D23" s="65" t="str">
        <x:v>Documentation</x:v>
      </x:c>
      <x:c r="E23" s="65" t="str">
        <x:v>Règles internes et limites de fidélité</x:v>
      </x:c>
      <x:c r="F23" s="65" t="str">
        <x:v>https://github.com/darknigthmare/Diva-Pulse/blob/docs/gamedev-guidance-diva-pulse/docs/REGLES_DIVA_PULSE_V1.md</x:v>
      </x:c>
    </x:row>
    <x:row r="24" ht="24" hidden="0" customHeight="1">
      <x:c r="A24" s="65" t="str">
        <x:v>V35 logique</x:v>
      </x:c>
      <x:c r="B24" s="65" t="str">
        <x:v>Contrats et événements rythmiques</x:v>
      </x:c>
      <x:c r="C24" s="65" t="str">
        <x:v>1 200 contrôles</x:v>
      </x:c>
      <x:c r="D24" s="65" t="str">
        <x:v>Node</x:v>
      </x:c>
      <x:c r="E24" s="65" t="str">
        <x:v>Oracles attendus et cadences simulées</x:v>
      </x:c>
      <x:c r="F24" s="65" t="str">
        <x:v>https://github.com/darknigthmare/Diva-Pulse/blob/docs/gamedev-guidance-diva-pulse/tests/rules-contract.test.cjs</x:v>
      </x:c>
    </x:row>
    <x:row r="25" ht="24" hidden="0" customHeight="1">
      <x:c r="A25" s="65" t="str">
        <x:v>V35 navigateur</x:v>
      </x:c>
      <x:c r="B25" s="65" t="str">
        <x:v>v35_playback_browser.py</x:v>
      </x:c>
      <x:c r="C25" s="65" t="str">
        <x:v>22 contrôles</x:v>
      </x:c>
      <x:c r="D25" s="65" t="str">
        <x:v>Chromium natif</x:v>
      </x:c>
      <x:c r="E25" s="65" t="str">
        <x:v>HTTP/IndexedDB et Web Audio réels ; worker WSOLA et cas Studio/replay</x:v>
      </x:c>
      <x:c r="F25" s="65" t="str">
        <x:v>https://github.com/darknigthmare/Diva-Pulse/blob/docs/gamedev-guidance-diva-pulse/qa/v35/playback/results.json</x:v>
      </x:c>
    </x:row>
    <x:row r="26" ht="24" hidden="0" customHeight="1">
      <x:c r="A26" s="65" t="str">
        <x:v>V35 preuve</x:v>
      </x:c>
      <x:c r="B26" s="65" t="str">
        <x:v>verified.json</x:v>
      </x:c>
      <x:c r="C26" s="65" t="str">
        <x:v>35.0.0</x:v>
      </x:c>
      <x:c r="D26" s="65" t="str">
        <x:v>JSON</x:v>
      </x:c>
      <x:c r="E26" s="65" t="str">
        <x:v>Résultats et empreintes du HTML et de l’Excel</x:v>
      </x:c>
      <x:c r="F26" s="65" t="str">
        <x:v>https://github.com/darknigthmare/Diva-Pulse/blob/docs/gamedev-guidance-diva-pulse/qa/v35/verified.json</x:v>
      </x:c>
    </x:row>
    <x:row r="27" ht="24" hidden="0" customHeight="1">
      <x:c r="A27" s="65" t="str">
        <x:v>V35 guides</x:v>
      </x:c>
      <x:c r="B27" s="65" t="str">
        <x:v>GUIDE_DEVELOPPEMENT_GAMEDEV.md</x:v>
      </x:c>
      <x:c r="C27" s="65" t="str">
        <x:v>Sélection contextualisée</x:v>
      </x:c>
      <x:c r="D27" s="65" t="str">
        <x:v>Documentation</x:v>
      </x:c>
      <x:c r="E27" s="65" t="str">
        <x:v>Méthode de développement appliquée au projet</x:v>
      </x:c>
      <x:c r="F27" s="65" t="str">
        <x:v>https://github.com/darknigthmare/Diva-Pulse/blob/docs/gamedev-guidance-diva-pulse/docs/GUIDE_DEVELOPPEMENT_GAMEDEV.md</x:v>
      </x:c>
    </x:row>
    <x:row r="28" ht="15" hidden="0" customHeight="1">
      <x:c r="A28" s="65" t="str">
        <x:v>V36</x:v>
      </x:c>
      <x:c r="B28" s="65" t="str">
        <x:v>Code et suivi</x:v>
      </x:c>
      <x:c r="C28" s="65" t="str">
        <x:v>PR #2</x:v>
      </x:c>
      <x:c r="D28" s="65" t="str">
        <x:v>GitHub</x:v>
      </x:c>
      <x:c r="E28" s="65" t="str">
        <x:v>Proposition en revue</x:v>
      </x:c>
      <x:c r="F28" s="65" t="str">
        <x:v>https://github.com/darknigthmare/Diva-Pulse/pull/2</x:v>
      </x:c>
    </x:row>
    <x:row r="29" ht="24" hidden="0" customHeight="1">
      <x:c r="A29" s="65" t="str">
        <x:v>V36 archives</x:v>
      </x:c>
      <x:c r="B29" s="65" t="str">
        <x:v>v36_archive_browser.py</x:v>
      </x:c>
      <x:c r="C29" s="65" t="str">
        <x:v>76 contrôles</x:v>
      </x:c>
      <x:c r="D29" s="65" t="str">
        <x:v>HTTP/IndexedDB natif</x:v>
      </x:c>
      <x:c r="E29" s="65" t="str">
        <x:v>Précontrôle, refus sans écriture, abort réel et réouverture</x:v>
      </x:c>
      <x:c r="F29" s="65" t="str">
        <x:v>https://github.com/darknigthmare/Diva-Pulse/blob/docs/gamedev-guidance-diva-pulse/qa/v36/archive/results.json</x:v>
      </x:c>
    </x:row>
    <x:row r="30" ht="24" hidden="0" customHeight="1">
      <x:c r="A30" s="65" t="str">
        <x:v>V36 mouvement</x:v>
      </x:c>
      <x:c r="B30" s="65" t="str">
        <x:v>v36_motion_browser.py</x:v>
      </x:c>
      <x:c r="C30" s="65" t="str">
        <x:v>22 contrôles</x:v>
      </x:c>
      <x:c r="D30" s="65" t="str">
        <x:v>HTTP/IndexedDB/WebGL</x:v>
      </x:c>
      <x:c r="E30" s="65" t="str">
        <x:v>Préférence système émulée ; caméras, décor et sauvegarde du réglage</x:v>
      </x:c>
      <x:c r="F30" s="65" t="str">
        <x:v>https://github.com/darknigthmare/Diva-Pulse/blob/docs/gamedev-guidance-diva-pulse/qa/v36/motion/results.json</x:v>
      </x:c>
    </x:row>
    <x:row r="31" ht="24" hidden="0" customHeight="1">
      <x:c r="A31" s="65" t="str">
        <x:v>V36 logique</x:v>
      </x:c>
      <x:c r="B31" s="65" t="str">
        <x:v>Suite logique complète</x:v>
      </x:c>
      <x:c r="C31" s="65" t="str">
        <x:v>1 291 contrôles</x:v>
      </x:c>
      <x:c r="D31" s="65" t="str">
        <x:v>Node</x:v>
      </x:c>
      <x:c r="E31" s="65" t="str">
        <x:v>Dont 75 contrôles archives et 16 mouvement V36</x:v>
      </x:c>
      <x:c r="F31" s="65" t="str">
        <x:v>https://github.com/darknigthmare/Diva-Pulse/blob/docs/gamedev-guidance-diva-pulse/qa/v36/logic.tap</x:v>
      </x:c>
    </x:row>
    <x:row r="32" ht="24" hidden="0" customHeight="1">
      <x:c r="A32" s="65" t="str">
        <x:v>V36 preuve</x:v>
      </x:c>
      <x:c r="B32" s="65" t="str">
        <x:v>verified.json</x:v>
      </x:c>
      <x:c r="C32" s="65" t="str">
        <x:v>36.0.0</x:v>
      </x:c>
      <x:c r="D32" s="65" t="str">
        <x:v>JSON</x:v>
      </x:c>
      <x:c r="E32" s="65" t="str">
        <x:v>Résultats et empreintes du HTML et de l’Excel</x:v>
      </x:c>
      <x:c r="F32" s="65" t="str">
        <x:v>https://github.com/darknigthmare/Diva-Pulse/blob/docs/gamedev-guidance-diva-pulse/qa/v36/verified.json</x:v>
      </x:c>
    </x:row>
    <x:row r="33" ht="24" hidden="0" customHeight="1">
      <x:c r="A33" s="65" t="str">
        <x:v>V35 base</x:v>
      </x:c>
      <x:c r="B33" s="65" t="str">
        <x:v>Commit relu</x:v>
      </x:c>
      <x:c r="C33" s="65" t="str">
        <x:v>b3d9aae</x:v>
      </x:c>
      <x:c r="D33" s="65" t="str">
        <x:v>GitHub</x:v>
      </x:c>
      <x:c r="E33" s="65" t="str">
        <x:v>Base exacte du lot V36</x:v>
      </x:c>
      <x:c r="F33" s="65" t="str">
        <x:v>https://github.com/darknigthmare/Diva-Pulse/commit/b3d9aaee1b7db4f342161f18682915f4d2517dd3</x:v>
      </x:c>
    </x:row>
    <x:row r="34" ht="24" hidden="0" customHeight="1">
      <x:c r="A34" s="65" t="str">
        <x:v>V36 guide</x:v>
      </x:c>
      <x:c r="B34" s="65" t="str">
        <x:v>V36_ARCHIVES_SCENE_CALME.md</x:v>
      </x:c>
      <x:c r="C34" s="65" t="str">
        <x:v>36.0.0</x:v>
      </x:c>
      <x:c r="D34" s="65" t="str">
        <x:v>Documentation</x:v>
      </x:c>
      <x:c r="E34" s="65" t="str">
        <x:v>Périmètres, refus et limites de qualification</x:v>
      </x:c>
      <x:c r="F34" s="65" t="str">
        <x:v>https://github.com/darknigthmare/Diva-Pulse/blob/docs/gamedev-guidance-diva-pulse/docs/V36_ARCHIVES_SCENE_CALME.md</x:v>
      </x:c>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92ff33030e9e46a3"/>
  </x:tableParts>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12" hidden="0" customWidth="1"/>
  </x:cols>
  <x:sheetData>
    <x:row r="1" ht="24" customHeight="1">
      <x:c r="A1" s="140" t="str">
        <x:v>DIVA PULSE  /  Lire et maintenir le suivi</x:v>
      </x:c>
      <x:c r="B1" s="140"/>
    </x:row>
    <x:row r="2" ht="24" customHeight="1">
      <x:c r="A2" s="140"/>
      <x:c r="B2" s="140"/>
    </x:row>
    <x:row r="3" ht="44" customHeight="1">
      <x:c r="A3" s="18" t="str">
        <x:v>Suivi V36 : statuts, critères d’acceptation et preuves de la PR #2. Le fichier V35 est conservé ; les onglets Livré/Tests V30 à V34 restent historiques.</x:v>
      </x:c>
      <x:c r="B3" s="10"/>
    </x:row>
    <x:row r="4" ht="24" customHeight="1">
      <x:c r="A4" s="10"/>
      <x:c r="B4" s="10"/>
    </x:row>
    <x:row r="5" ht="32" customHeight="1">
      <x:c r="A5" s="22" t="str">
        <x:v>Sujet</x:v>
      </x:c>
      <x:c r="B5" s="22" t="str">
        <x:v>Règle</x:v>
      </x:c>
    </x:row>
    <x:row r="6" ht="78" customHeight="1">
      <x:c r="A6" s="26" t="str">
        <x:v>Statut Fait</x:v>
      </x:c>
      <x:c r="B6" s="26" t="str">
        <x:v>Implémenté et validé dans la portée indiquée. « Fait » ne signifie ni fusion, ni qualification universelle. Un test logiciel ne certifie pas tous les formats, contenus importés ou appareils.</x:v>
      </x:c>
    </x:row>
    <x:row r="7" ht="78" customHeight="1">
      <x:c r="A7" s="10" t="str">
        <x:v>Partiel</x:v>
      </x:c>
      <x:c r="B7" s="10" t="str">
        <x:v>Une portion est livrée mais le critère global conserve du travail. Ces lignes sont comptées comme ouvertes.</x:v>
      </x:c>
    </x:row>
    <x:row r="8" ht="78" customHeight="1">
      <x:c r="A8" s="26" t="str">
        <x:v>À valider</x:v>
      </x:c>
      <x:c r="B8" s="26" t="str">
        <x:v>Code ou scénario existant dont la qualification demandée reste à exécuter sur le banc prévu.</x:v>
      </x:c>
    </x:row>
    <x:row r="9" ht="78" customHeight="1">
      <x:c r="A9" s="10" t="str">
        <x:v>Priorité P0 / P1 / P2</x:v>
      </x:c>
      <x:c r="B9" s="10" t="str">
        <x:v>P0 : intégrité et livraison ; P1 : fonction importante ou risque utilisateur ; P2 : approfondissement/qualité.</x:v>
      </x:c>
    </x:row>
    <x:row r="10" ht="78" customHeight="1">
      <x:c r="A10" s="26" t="str">
        <x:v>Base et variantes</x:v>
      </x:c>
      <x:c r="B10" s="26" t="str">
        <x:v>Les archives locales V29 n'étaient pas identiques à la V29 distante. Les descriptions erronées de sélection, glisser groupé et suppression atomique ont été corrigées.</x:v>
      </x:c>
    </x:row>
    <x:row r="11" ht="78" customHeight="1">
      <x:c r="A11" s="10" t="str">
        <x:v>Mesure de progression</x:v>
      </x:c>
      <x:c r="B11" s="10" t="str">
        <x:v>Les compteurs sont des formules calculées depuis Manquants. Les points faits ne constituent pas un pourcentage de finition du jeu ; les chantiers partiels restent ouverts.</x:v>
      </x:c>
    </x:row>
    <x:row r="12" ht="78" customHeight="1">
      <x:c r="A12" s="26" t="str">
        <x:v>Temps</x:v>
      </x:c>
      <x:c r="B12" s="26" t="str">
        <x:v>Le Director utilise les secondes audio ; la grille tient compte du tempo, de gridOffset et de l'offset de partition.</x:v>
      </x:c>
    </x:row>
    <x:row r="13" ht="78" customHeight="1">
      <x:c r="A13" s="10" t="str">
        <x:v>Découpe</x:v>
      </x:c>
      <x:c r="B13" s="10" t="str">
        <x:v>V32 préserve la phase des boucles synchronisées au tempo source. Les coupes dans un fondu actif restent refusées. La fusion exige des fragments contigus compatibles ; root motion reste ouvert.</x:v>
      </x:c>
    </x:row>
    <x:row r="14" ht="78" customHeight="1">
      <x:c r="A14" s="26" t="str">
        <x:v>Validation navigateur</x:v>
      </x:c>
      <x:c r="B14" s="26" t="str">
        <x:v>Local : 284 contrôles navigateur, dont 23 Director en document injecté et 261 par HTTP. Les nouveaux parcours utilisent IndexedDB natif ; mouvement : WebGL sur GPU logiciel et préférences système émulées. CI à recréer sur le commit publié. Modes et empreintes : qa/v36/verified.json ; onglets Tests V30–V34 historiques.</x:v>
      </x:c>
    </x:row>
    <x:row r="15" ht="78" customHeight="1">
      <x:c r="A15" s="10" t="str">
        <x:v>Matériel</x:v>
      </x:c>
      <x:c r="B15" s="10" t="str">
        <x:v>Aucun téléphone, manette ou lecteur d'écran physique n'a été certifié dans cette passe.</x:v>
      </x:c>
    </x:row>
    <x:row r="16" ht="78" customHeight="1">
      <x:c r="A16" s="26" t="str">
        <x:v>Mise à jour</x:v>
      </x:c>
      <x:c r="B16" s="26" t="str">
        <x:v>Modifier Manquants, vérifier ses compteurs calculés, puis synchroniser les mêmes 136 lignes dans BACKLOG_V36.json et MANQUANTS_V36.csv. Conserver les versions historiques.</x:v>
      </x:c>
    </x:row>
    <x:row r="17" ht="78" customHeight="1">
      <x:c r="A17" s="10" t="str">
        <x:v>Publication</x:v>
      </x:c>
      <x:c r="B17" s="10" t="str">
        <x:v>PR #2 : intégrité des archives, restauration des records et mouvement réduit V36, avec Excel et preuves. Les fichiers V35 restent historiques ; aucune fusion automatique.</x:v>
      </x:c>
    </x:row>
    <x:row r="18" ht="24" customHeight="1">
      <x:c r="A18" s="10"/>
      <x:c r="B18" s="10"/>
    </x:row>
    <x:row r="19" ht="24" customHeight="1">
      <x:c r="A19" s="10"/>
      <x:c r="B19" s="10"/>
    </x:row>
    <x:row r="20" ht="24" customHeight="1">
      <x:c r="A20" s="10"/>
      <x:c r="B20" s="10"/>
    </x:row>
    <x:row r="21" ht="24" customHeight="1">
      <x:c r="A21" s="10"/>
      <x:c r="B21" s="10"/>
    </x:row>
    <x:row r="22" ht="24" customHeight="1">
      <x:c r="A22" s="10"/>
      <x:c r="B22" s="10"/>
    </x:row>
    <x:row r="23" ht="24" customHeight="1">
      <x:c r="A23" s="10"/>
      <x:c r="B23" s="10"/>
    </x:row>
    <x:row r="24" ht="24" customHeight="1">
      <x:c r="A24" s="10"/>
      <x:c r="B24" s="10"/>
    </x:row>
    <x:row r="25" ht="24" customHeight="1">
      <x:c r="A25" s="10"/>
      <x:c r="B25" s="10"/>
    </x:row>
    <x:row r="26" ht="24" customHeight="1">
      <x:c r="A26" s="10"/>
      <x:c r="B26" s="10"/>
    </x:row>
    <x:row r="27" ht="24" customHeight="1">
      <x:c r="A27" s="10"/>
      <x:c r="B27" s="10"/>
    </x:row>
    <x:row r="28" ht="24" customHeight="1">
      <x:c r="A28" s="10"/>
      <x:c r="B28" s="10"/>
    </x:row>
    <x:row r="29" ht="24" customHeight="1">
      <x:c r="A29" s="10"/>
      <x:c r="B29" s="10"/>
    </x:row>
    <x:row r="30" ht="24" customHeight="1">
      <x:c r="A30" s="10"/>
      <x:c r="B30" s="10"/>
    </x:row>
    <x:row r="31" ht="24" customHeight="1">
      <x:c r="A31" s="10"/>
      <x:c r="B31" s="10"/>
    </x:row>
    <x:row r="32" ht="24" customHeight="1">
      <x:c r="A32" s="10"/>
      <x:c r="B32" s="10"/>
    </x:row>
    <x:row r="33" ht="24" customHeight="1">
      <x:c r="A33" s="10"/>
      <x:c r="B33" s="10"/>
    </x:row>
    <x:row r="34" ht="24" customHeight="1">
      <x:c r="A34" s="10"/>
      <x:c r="B34" s="10"/>
    </x:row>
    <x:row r="35" ht="24" customHeight="1">
      <x:c r="A35" s="10"/>
      <x:c r="B35" s="10"/>
    </x:row>
    <x:row r="36" ht="24" customHeight="1">
      <x:c r="A36" s="10"/>
      <x:c r="B36" s="10"/>
    </x:row>
    <x:row r="37" ht="24" customHeight="1">
      <x:c r="A37" s="10"/>
      <x:c r="B37" s="10"/>
    </x:row>
    <x:row r="38" ht="24" customHeight="1">
      <x:c r="A38" s="10"/>
      <x:c r="B38" s="10"/>
    </x:row>
    <x:row r="39" ht="24" customHeight="1">
      <x:c r="A39" s="10"/>
      <x:c r="B39" s="10"/>
    </x:row>
    <x:row r="40" ht="24" customHeight="1">
      <x:c r="A40" s="10"/>
      <x:c r="B40" s="10"/>
    </x:row>
    <x:row r="41" ht="24" customHeight="1">
      <x:c r="A41" s="10"/>
      <x:c r="B41" s="10"/>
    </x:row>
    <x:row r="42" ht="24" customHeight="1">
      <x:c r="A42" s="10"/>
      <x:c r="B42" s="10"/>
    </x:row>
    <x:row r="43" ht="24" customHeight="1">
      <x:c r="A43" s="10"/>
      <x:c r="B43" s="10"/>
    </x:row>
    <x:row r="44" ht="24" customHeight="1">
      <x:c r="A44" s="10"/>
      <x:c r="B44" s="10"/>
    </x:row>
    <x:row r="45" ht="24" customHeight="1">
      <x:c r="A45" s="10"/>
      <x:c r="B45" s="10"/>
    </x:row>
    <x:row r="46" ht="24" customHeight="1">
      <x:c r="A46" s="10"/>
      <x:c r="B46" s="10"/>
    </x:row>
    <x:row r="47" ht="24" customHeight="1">
      <x:c r="A47" s="10"/>
      <x:c r="B47" s="10"/>
    </x:row>
    <x:row r="48" ht="24" customHeight="1">
      <x:c r="A48" s="10"/>
      <x:c r="B48" s="10"/>
    </x:row>
    <x:row r="49" ht="24" customHeight="1">
      <x:c r="A49" s="10"/>
      <x:c r="B49" s="10"/>
    </x:row>
    <x:row r="50" ht="24" customHeight="1">
      <x:c r="A50" s="10"/>
      <x:c r="B50" s="10"/>
    </x:row>
    <x:row r="51" ht="24" customHeight="1">
      <x:c r="A51" s="10"/>
      <x:c r="B51" s="10"/>
    </x:row>
    <x:row r="52" ht="24" customHeight="1">
      <x:c r="A52" s="10"/>
      <x:c r="B52" s="10"/>
    </x:row>
    <x:row r="53" ht="24" customHeight="1">
      <x:c r="A53" s="10"/>
      <x:c r="B53" s="10"/>
    </x:row>
    <x:row r="54" ht="24" customHeight="1">
      <x:c r="A54" s="10"/>
      <x:c r="B54" s="10"/>
    </x:row>
    <x:row r="55" ht="24" customHeight="1">
      <x:c r="A55" s="10"/>
      <x:c r="B55" s="10"/>
    </x:row>
    <x:row r="56" ht="24" customHeight="1">
      <x:c r="A56" s="10"/>
      <x:c r="B56" s="10"/>
    </x:row>
    <x:row r="57" ht="24" customHeight="1">
      <x:c r="A57" s="10"/>
      <x:c r="B57" s="10"/>
    </x:row>
    <x:row r="58" ht="24" customHeight="1">
      <x:c r="A58" s="10"/>
      <x:c r="B58" s="10"/>
    </x:row>
    <x:row r="59" ht="24" customHeight="1">
      <x:c r="A59" s="10"/>
      <x:c r="B59" s="10"/>
    </x:row>
    <x:row r="60" ht="24" customHeight="1">
      <x:c r="A60" s="10"/>
      <x:c r="B60" s="10"/>
    </x:row>
    <x:row r="61" ht="24" customHeight="1">
      <x:c r="A61" s="10"/>
      <x:c r="B61" s="10"/>
    </x:row>
    <x:row r="62" ht="24" customHeight="1">
      <x:c r="A62" s="10"/>
      <x:c r="B62" s="10"/>
    </x:row>
    <x:row r="63" ht="24" customHeight="1">
      <x:c r="A63" s="10"/>
      <x:c r="B63" s="10"/>
    </x:row>
    <x:row r="64" ht="24" customHeight="1">
      <x:c r="A64" s="10"/>
      <x:c r="B64" s="10"/>
    </x:row>
    <x:row r="65" ht="24" customHeight="1">
      <x:c r="A65" s="10"/>
      <x:c r="B65" s="10"/>
    </x:row>
    <x:row r="66" ht="24" customHeight="1">
      <x:c r="A66" s="10"/>
      <x:c r="B66" s="10"/>
    </x:row>
    <x:row r="67" ht="24" customHeight="1">
      <x:c r="A67" s="10"/>
      <x:c r="B67" s="10"/>
    </x:row>
    <x:row r="68" ht="24" customHeight="1">
      <x:c r="A68" s="10"/>
      <x:c r="B68" s="10"/>
    </x:row>
    <x:row r="69" ht="24" customHeight="1">
      <x:c r="A69" s="10"/>
      <x:c r="B69" s="10"/>
    </x:row>
    <x:row r="70" ht="24" customHeight="1">
      <x:c r="A70" s="10"/>
      <x:c r="B70" s="10"/>
    </x:row>
    <x:row r="71" ht="24" customHeight="1">
      <x:c r="A71" s="10"/>
      <x:c r="B71" s="10"/>
    </x:row>
    <x:row r="72" ht="24" customHeight="1">
      <x:c r="A72" s="10"/>
      <x:c r="B72" s="10"/>
    </x:row>
    <x:row r="73" ht="24" customHeight="1">
      <x:c r="A73" s="10"/>
      <x:c r="B73" s="10"/>
    </x:row>
    <x:row r="74" ht="24" customHeight="1">
      <x:c r="A74" s="10"/>
      <x:c r="B74" s="10"/>
    </x:row>
    <x:row r="75" ht="24" customHeight="1">
      <x:c r="A75" s="10"/>
      <x:c r="B75" s="10"/>
    </x:row>
    <x:row r="76" ht="24" customHeight="1">
      <x:c r="A76" s="10"/>
      <x:c r="B76" s="10"/>
    </x:row>
    <x:row r="77" ht="24" customHeight="1">
      <x:c r="A77" s="10"/>
      <x:c r="B77" s="10"/>
    </x:row>
    <x:row r="78" ht="24" customHeight="1">
      <x:c r="A78" s="10"/>
      <x:c r="B78" s="10"/>
    </x:row>
    <x:row r="79" ht="24" customHeight="1">
      <x:c r="A79" s="10"/>
      <x:c r="B79" s="10"/>
    </x:row>
    <x:row r="80" ht="24" customHeight="1">
      <x:c r="A80" s="10"/>
      <x:c r="B80" s="10"/>
    </x:row>
    <x:row r="81" ht="24" customHeight="1">
      <x:c r="A81" s="10"/>
      <x:c r="B81" s="10"/>
    </x:row>
    <x:row r="82" ht="24" customHeight="1">
      <x:c r="A82" s="10"/>
      <x:c r="B82" s="10"/>
    </x:row>
    <x:row r="83" ht="24" customHeight="1">
      <x:c r="A83" s="10"/>
      <x:c r="B83" s="10"/>
    </x:row>
    <x:row r="84" ht="24" customHeight="1">
      <x:c r="A84" s="10"/>
      <x:c r="B84" s="10"/>
    </x:row>
    <x:row r="85" ht="24" customHeight="1">
      <x:c r="A85" s="10"/>
      <x:c r="B85" s="10"/>
    </x:row>
    <x:row r="86" ht="24" customHeight="1">
      <x:c r="A86" s="10"/>
      <x:c r="B86" s="10"/>
    </x:row>
    <x:row r="87" ht="24" customHeight="1">
      <x:c r="A87" s="10"/>
      <x:c r="B87" s="10"/>
    </x:row>
    <x:row r="88" ht="24" customHeight="1">
      <x:c r="A88" s="10"/>
      <x:c r="B88" s="10"/>
    </x:row>
    <x:row r="89" ht="24" customHeight="1">
      <x:c r="A89" s="10"/>
      <x:c r="B89" s="10"/>
    </x:row>
    <x:row r="90" ht="24" customHeight="1">
      <x:c r="A90" s="10"/>
      <x:c r="B90" s="10"/>
    </x:row>
    <x:row r="91" ht="24" customHeight="1">
      <x:c r="A91" s="10"/>
      <x:c r="B91" s="10"/>
    </x:row>
    <x:row r="92" ht="24" customHeight="1">
      <x:c r="A92" s="10"/>
      <x:c r="B92" s="10"/>
    </x:row>
    <x:row r="93" ht="24" customHeight="1">
      <x:c r="A93" s="10"/>
      <x:c r="B93" s="10"/>
    </x:row>
    <x:row r="94" ht="24" customHeight="1">
      <x:c r="A94" s="10"/>
      <x:c r="B94" s="10"/>
    </x:row>
    <x:row r="95" ht="24" customHeight="1">
      <x:c r="A95" s="10"/>
      <x:c r="B95" s="10"/>
    </x:row>
    <x:row r="96" ht="24" customHeight="1">
      <x:c r="A96" s="10"/>
      <x:c r="B96" s="10"/>
    </x:row>
    <x:row r="97" ht="24" customHeight="1">
      <x:c r="A97" s="10"/>
      <x:c r="B97" s="10"/>
    </x:row>
    <x:row r="98" ht="24" customHeight="1">
      <x:c r="A98" s="10"/>
      <x:c r="B98" s="10"/>
    </x:row>
    <x:row r="99" ht="24" customHeight="1">
      <x:c r="A99" s="10"/>
      <x:c r="B99" s="10"/>
    </x:row>
    <x:row r="100" ht="24" customHeight="1">
      <x:c r="A100" s="10"/>
      <x:c r="B100" s="10"/>
    </x:row>
    <x:row r="101" ht="24" customHeight="1">
      <x:c r="A101" s="10"/>
      <x:c r="B101" s="10"/>
    </x:row>
    <x:row r="102" ht="24" customHeight="1">
      <x:c r="A102" s="10"/>
      <x:c r="B102" s="10"/>
    </x:row>
    <x:row r="103" ht="24" customHeight="1">
      <x:c r="A103" s="10"/>
      <x:c r="B103" s="10"/>
    </x:row>
    <x:row r="104" ht="24" customHeight="1">
      <x:c r="A104" s="10"/>
      <x:c r="B104" s="10"/>
    </x:row>
    <x:row r="105" ht="24" customHeight="1">
      <x:c r="A105" s="10"/>
      <x:c r="B105" s="10"/>
    </x:row>
    <x:row r="106" ht="24" customHeight="1">
      <x:c r="A106" s="10"/>
      <x:c r="B106" s="10"/>
    </x:row>
    <x:row r="107" ht="24" customHeight="1">
      <x:c r="A107" s="10"/>
      <x:c r="B107" s="10"/>
    </x:row>
    <x:row r="108" ht="24" customHeight="1">
      <x:c r="A108" s="10"/>
      <x:c r="B108" s="10"/>
    </x:row>
    <x:row r="109" ht="24" customHeight="1">
      <x:c r="A109" s="10"/>
      <x:c r="B109" s="10"/>
    </x:row>
    <x:row r="110" ht="24" customHeight="1">
      <x:c r="A110" s="10"/>
      <x:c r="B110" s="10"/>
    </x:row>
    <x:row r="111" ht="24" customHeight="1">
      <x:c r="A111" s="10"/>
      <x:c r="B111" s="10"/>
    </x:row>
    <x:row r="112" ht="24" customHeight="1">
      <x:c r="A112" s="10"/>
      <x:c r="B112" s="10"/>
    </x:row>
    <x:row r="113" ht="24" customHeight="1">
      <x:c r="A113" s="10"/>
      <x:c r="B113" s="10"/>
    </x:row>
    <x:row r="114" ht="24" customHeight="1">
      <x:c r="A114" s="10"/>
      <x:c r="B114" s="10"/>
    </x:row>
    <x:row r="115" ht="24" customHeight="1">
      <x:c r="A115" s="10"/>
      <x:c r="B115" s="10"/>
    </x:row>
    <x:row r="116" ht="24" customHeight="1">
      <x:c r="A116" s="10"/>
      <x:c r="B116" s="10"/>
    </x:row>
    <x:row r="117" ht="24" customHeight="1">
      <x:c r="A117" s="10"/>
      <x:c r="B117" s="10"/>
    </x:row>
    <x:row r="118" ht="24" customHeight="1">
      <x:c r="A118" s="10"/>
      <x:c r="B118" s="10"/>
    </x:row>
    <x:row r="119" ht="24" customHeight="1">
      <x:c r="A119" s="10"/>
      <x:c r="B119" s="10"/>
    </x:row>
    <x:row r="120" ht="24" customHeight="1">
      <x:c r="A120" s="10"/>
      <x:c r="B120" s="10"/>
    </x:row>
    <x:row r="121" ht="24" customHeight="1">
      <x:c r="A121" s="10"/>
      <x:c r="B121" s="10"/>
    </x:row>
    <x:row r="122" ht="24" customHeight="1">
      <x:c r="A122" s="10"/>
      <x:c r="B122" s="10"/>
    </x:row>
    <x:row r="123" ht="24" customHeight="1">
      <x:c r="A123" s="10"/>
      <x:c r="B123" s="10"/>
    </x:row>
    <x:row r="124" ht="24" customHeight="1">
      <x:c r="A124" s="10"/>
      <x:c r="B124" s="10"/>
    </x:row>
    <x:row r="125" ht="24" customHeight="1">
      <x:c r="A125" s="10"/>
      <x:c r="B125" s="10"/>
    </x:row>
    <x:row r="126" ht="24" customHeight="1">
      <x:c r="A126" s="10"/>
      <x:c r="B126" s="10"/>
    </x:row>
    <x:row r="127" ht="24" customHeight="1">
      <x:c r="A127" s="10"/>
      <x:c r="B127" s="10"/>
    </x:row>
    <x:row r="128" ht="24" customHeight="1">
      <x:c r="A128" s="10"/>
      <x:c r="B128" s="10"/>
    </x:row>
    <x:row r="129" ht="24" customHeight="1">
      <x:c r="A129" s="10"/>
      <x:c r="B129" s="10"/>
    </x:row>
    <x:row r="130" ht="24" customHeight="1">
      <x:c r="A130" s="10"/>
      <x:c r="B130" s="10"/>
    </x:row>
    <x:row r="131" ht="24" customHeight="1">
      <x:c r="A131" s="10"/>
      <x:c r="B131" s="10"/>
    </x:row>
    <x:row r="132" ht="24" customHeight="1">
      <x:c r="A132" s="10"/>
      <x:c r="B132" s="10"/>
    </x:row>
    <x:row r="133" ht="24" customHeight="1">
      <x:c r="A133" s="10"/>
      <x:c r="B133" s="10"/>
    </x:row>
    <x:row r="134" ht="24" customHeight="1">
      <x:c r="A134" s="10"/>
      <x:c r="B134" s="10"/>
    </x:row>
    <x:row r="135" ht="24" customHeight="1">
      <x:c r="A135" s="10"/>
      <x:c r="B135" s="10"/>
    </x:row>
    <x:row r="136" ht="24" customHeight="1">
      <x:c r="A136" s="10"/>
      <x:c r="B136" s="10"/>
    </x:row>
    <x:row r="137" ht="24" customHeight="1">
      <x:c r="A137" s="10"/>
      <x:c r="B137" s="10"/>
    </x:row>
    <x:row r="138" ht="24" customHeight="1">
      <x:c r="A138" s="10"/>
      <x:c r="B138" s="10"/>
    </x:row>
    <x:row r="139" ht="24" customHeight="1">
      <x:c r="A139" s="10"/>
      <x:c r="B139" s="10"/>
    </x:row>
    <x:row r="140" ht="24" customHeight="1">
      <x:c r="A140" s="10"/>
      <x:c r="B140" s="10"/>
    </x:row>
    <x:row r="141" ht="24" customHeight="1">
      <x:c r="A141" s="10"/>
      <x:c r="B141" s="10"/>
    </x:row>
    <x:row r="142" ht="24" customHeight="1">
      <x:c r="A142" s="10"/>
      <x:c r="B142" s="10"/>
    </x:row>
    <x:row r="143" ht="24" customHeight="1">
      <x:c r="A143" s="10"/>
      <x:c r="B143" s="10"/>
    </x:row>
    <x:row r="144" ht="24" customHeight="1">
      <x:c r="A144" s="10"/>
      <x:c r="B144" s="10"/>
    </x:row>
    <x:row r="145" ht="24" customHeight="1">
      <x:c r="A145" s="10"/>
      <x:c r="B145" s="10"/>
    </x:row>
    <x:row r="146" ht="24" customHeight="1">
      <x:c r="A146" s="10"/>
      <x:c r="B146" s="10"/>
    </x:row>
    <x:row r="147" ht="24" customHeight="1">
      <x:c r="A147" s="10"/>
      <x:c r="B147" s="10"/>
    </x:row>
    <x:row r="148" ht="24" customHeight="1">
      <x:c r="A148" s="10"/>
      <x:c r="B148" s="10"/>
    </x:row>
    <x:row r="149" ht="24" customHeight="1">
      <x:c r="A149" s="10"/>
      <x:c r="B149" s="10"/>
    </x:row>
    <x:row r="150" ht="24" customHeight="1">
      <x:c r="A150" s="10"/>
      <x:c r="B150" s="10"/>
    </x:row>
    <x:row r="151" ht="24" customHeight="1">
      <x:c r="A151" s="10"/>
      <x:c r="B151" s="10"/>
    </x:row>
    <x:row r="152" ht="24" customHeight="1">
      <x:c r="A152" s="10"/>
      <x:c r="B152" s="10"/>
    </x:row>
    <x:row r="153" ht="24" customHeight="1">
      <x:c r="A153" s="10"/>
      <x:c r="B153" s="10"/>
    </x:row>
    <x:row r="154" ht="24" customHeight="1">
      <x:c r="A154" s="10"/>
      <x:c r="B154" s="10"/>
    </x:row>
    <x:row r="155" ht="24" customHeight="1">
      <x:c r="A155" s="10"/>
      <x:c r="B155" s="10"/>
    </x:row>
    <x:row r="156" ht="24" customHeight="1">
      <x:c r="A156" s="10"/>
      <x:c r="B156" s="10"/>
    </x:row>
    <x:row r="157" ht="24" customHeight="1">
      <x:c r="A157" s="10"/>
      <x:c r="B157" s="10"/>
    </x:row>
    <x:row r="158" ht="24" customHeight="1">
      <x:c r="A158" s="10"/>
      <x:c r="B158" s="10"/>
    </x:row>
    <x:row r="159" ht="24" customHeight="1">
      <x:c r="A159" s="10"/>
      <x:c r="B159" s="10"/>
    </x:row>
    <x:row r="160" ht="24" customHeight="1">
      <x:c r="A160" s="10"/>
      <x:c r="B160" s="10"/>
    </x:row>
    <x:row r="161" ht="24" customHeight="1">
      <x:c r="A161" s="10"/>
      <x:c r="B161" s="10"/>
    </x:row>
    <x:row r="162" ht="24" customHeight="1">
      <x:c r="A162" s="10"/>
      <x:c r="B162" s="10"/>
    </x:row>
    <x:row r="163" ht="24" customHeight="1">
      <x:c r="A163" s="10"/>
      <x:c r="B163" s="10"/>
    </x:row>
    <x:row r="164" ht="24" customHeight="1">
      <x:c r="A164" s="10"/>
      <x:c r="B164" s="10"/>
    </x:row>
    <x:row r="165" ht="24" customHeight="1">
      <x:c r="A165" s="10"/>
      <x:c r="B165" s="10"/>
    </x:row>
    <x:row r="166" ht="24" customHeight="1">
      <x:c r="A166" s="10"/>
      <x:c r="B166" s="10"/>
    </x:row>
    <x:row r="167" ht="24" customHeight="1">
      <x:c r="A167" s="10"/>
      <x:c r="B167" s="10"/>
    </x:row>
    <x:row r="168" ht="24" customHeight="1">
      <x:c r="A168" s="10"/>
      <x:c r="B168" s="10"/>
    </x:row>
    <x:row r="169" ht="24" customHeight="1">
      <x:c r="A169" s="10"/>
      <x:c r="B169" s="10"/>
    </x:row>
    <x:row r="170" ht="24" customHeight="1">
      <x:c r="A170" s="10"/>
      <x:c r="B170" s="10"/>
    </x:row>
    <x:row r="171" ht="24" customHeight="1">
      <x:c r="A171" s="10"/>
      <x:c r="B171" s="10"/>
    </x:row>
    <x:row r="172" ht="24" customHeight="1">
      <x:c r="A172" s="10"/>
      <x:c r="B172" s="10"/>
    </x:row>
    <x:row r="173" ht="24" customHeight="1">
      <x:c r="A173" s="10"/>
      <x:c r="B173" s="10"/>
    </x:row>
    <x:row r="174" ht="24" customHeight="1">
      <x:c r="A174" s="10"/>
      <x:c r="B174" s="10"/>
    </x:row>
    <x:row r="175" ht="24" customHeight="1">
      <x:c r="A175" s="10"/>
      <x:c r="B175" s="10"/>
    </x:row>
    <x:row r="176" ht="24" customHeight="1">
      <x:c r="A176" s="10"/>
      <x:c r="B176" s="10"/>
    </x:row>
    <x:row r="177" ht="24" customHeight="1">
      <x:c r="A177" s="10"/>
      <x:c r="B177" s="10"/>
    </x:row>
    <x:row r="178" ht="24" customHeight="1">
      <x:c r="A178" s="10"/>
      <x:c r="B178" s="10"/>
    </x:row>
    <x:row r="179" ht="24" customHeight="1">
      <x:c r="A179" s="10"/>
      <x:c r="B179" s="10"/>
    </x:row>
    <x:row r="180" ht="24" customHeight="1">
      <x:c r="A180" s="10"/>
      <x:c r="B180" s="10"/>
    </x:row>
    <x:row r="181" ht="24" customHeight="1">
      <x:c r="A181" s="10"/>
      <x:c r="B181" s="10"/>
    </x:row>
    <x:row r="182" ht="24" customHeight="1">
      <x:c r="A182" s="10"/>
      <x:c r="B182" s="10"/>
    </x:row>
    <x:row r="183" ht="24" customHeight="1">
      <x:c r="A183" s="10"/>
      <x:c r="B183" s="10"/>
    </x:row>
    <x:row r="184" ht="24" customHeight="1">
      <x:c r="A184" s="10"/>
      <x:c r="B184" s="10"/>
    </x:row>
    <x:row r="185" ht="24" customHeight="1">
      <x:c r="A185" s="10"/>
      <x:c r="B185" s="10"/>
    </x:row>
    <x:row r="186" ht="24" customHeight="1">
      <x:c r="A186" s="10"/>
      <x:c r="B186" s="10"/>
    </x:row>
    <x:row r="187" ht="24" customHeight="1">
      <x:c r="A187" s="10"/>
      <x:c r="B187" s="10"/>
    </x:row>
    <x:row r="188" ht="24" customHeight="1">
      <x:c r="A188" s="10"/>
      <x:c r="B188" s="10"/>
    </x:row>
    <x:row r="189" ht="24" customHeight="1">
      <x:c r="A189" s="10"/>
      <x:c r="B189" s="10"/>
    </x:row>
    <x:row r="190" ht="24" customHeight="1">
      <x:c r="A190" s="10"/>
      <x:c r="B190" s="10"/>
    </x:row>
    <x:row r="191" ht="24" customHeight="1">
      <x:c r="A191" s="10"/>
      <x:c r="B191" s="10"/>
    </x:row>
    <x:row r="192" ht="24" customHeight="1">
      <x:c r="A192" s="10"/>
      <x:c r="B192" s="10"/>
    </x:row>
    <x:row r="193" ht="24" customHeight="1">
      <x:c r="A193" s="10"/>
      <x:c r="B193" s="10"/>
    </x:row>
    <x:row r="194" ht="24" customHeight="1">
      <x:c r="A194" s="10"/>
      <x:c r="B194" s="10"/>
    </x:row>
    <x:row r="195" ht="24" customHeight="1">
      <x:c r="A195" s="10"/>
      <x:c r="B195" s="10"/>
    </x:row>
    <x:row r="196" ht="24" customHeight="1">
      <x:c r="A196" s="10"/>
      <x:c r="B196" s="10"/>
    </x:row>
    <x:row r="197" ht="24" customHeight="1">
      <x:c r="A197" s="10"/>
      <x:c r="B197" s="10"/>
    </x:row>
    <x:row r="198" ht="24" customHeight="1">
      <x:c r="A198" s="10"/>
      <x:c r="B198" s="10"/>
    </x:row>
    <x:row r="199" ht="24" customHeight="1">
      <x:c r="A199" s="10"/>
      <x:c r="B199" s="10"/>
    </x:row>
    <x:row r="200" ht="24" customHeight="1">
      <x:c r="A200" s="10"/>
      <x:c r="B200" s="10"/>
    </x:row>
    <x:row r="201" ht="24" customHeight="1">
      <x:c r="A201" s="10"/>
      <x:c r="B201" s="10"/>
    </x:row>
    <x:row r="202" ht="24" customHeight="1">
      <x:c r="A202" s="10"/>
      <x:c r="B202" s="10"/>
    </x:row>
    <x:row r="203" ht="24" customHeight="1">
      <x:c r="A203" s="10"/>
      <x:c r="B203" s="10"/>
    </x:row>
    <x:row r="204" ht="24" customHeight="1">
      <x:c r="A204" s="10"/>
      <x:c r="B204" s="10"/>
    </x:row>
    <x:row r="205" ht="24" customHeight="1">
      <x:c r="A205" s="10"/>
      <x:c r="B205" s="10"/>
    </x:row>
    <x:row r="206" ht="24" customHeight="1">
      <x:c r="A206" s="10"/>
      <x:c r="B206" s="10"/>
    </x:row>
    <x:row r="207" ht="24" customHeight="1">
      <x:c r="A207" s="10"/>
      <x:c r="B207" s="10"/>
    </x:row>
    <x:row r="208" ht="24" customHeight="1">
      <x:c r="A208" s="10"/>
      <x:c r="B208" s="10"/>
    </x:row>
    <x:row r="209" ht="24" customHeight="1">
      <x:c r="A209" s="10"/>
      <x:c r="B209" s="10"/>
    </x:row>
    <x:row r="210" ht="24" customHeight="1">
      <x:c r="A210" s="10"/>
      <x:c r="B210" s="10"/>
    </x:row>
    <x:row r="211" ht="24" customHeight="1">
      <x:c r="A211" s="10"/>
      <x:c r="B211" s="10"/>
    </x:row>
    <x:row r="212" ht="24" customHeight="1">
      <x:c r="A212" s="10"/>
      <x:c r="B212" s="10"/>
    </x:row>
    <x:row r="213" ht="24" customHeight="1">
      <x:c r="A213" s="10"/>
      <x:c r="B213" s="10"/>
    </x:row>
    <x:row r="214" ht="24" customHeight="1">
      <x:c r="A214" s="10"/>
      <x:c r="B214" s="10"/>
    </x:row>
    <x:row r="215" ht="24" customHeight="1">
      <x:c r="A215" s="10"/>
      <x:c r="B215" s="10"/>
    </x:row>
    <x:row r="216" ht="24" customHeight="1">
      <x:c r="A216" s="10"/>
      <x:c r="B216" s="10"/>
    </x:row>
    <x:row r="217" ht="24" customHeight="1">
      <x:c r="A217" s="10"/>
      <x:c r="B217" s="10"/>
    </x:row>
    <x:row r="218" ht="24" customHeight="1">
      <x:c r="A218" s="10"/>
      <x:c r="B218" s="10"/>
    </x:row>
    <x:row r="219" ht="24" customHeight="1">
      <x:c r="A219" s="10"/>
      <x:c r="B219" s="10"/>
    </x:row>
    <x:row r="220" ht="24" customHeight="1">
      <x:c r="A220" s="10"/>
      <x:c r="B220" s="10"/>
    </x:row>
    <x:row r="221" ht="24" customHeight="1">
      <x:c r="A221" s="10"/>
      <x:c r="B221" s="10"/>
    </x:row>
    <x:row r="222" ht="24" customHeight="1">
      <x:c r="A222" s="10"/>
      <x:c r="B222" s="10"/>
    </x:row>
    <x:row r="223" ht="24" customHeight="1">
      <x:c r="A223" s="10"/>
      <x:c r="B223" s="10"/>
    </x:row>
    <x:row r="224" ht="24" customHeight="1">
      <x:c r="A224" s="10"/>
      <x:c r="B224" s="10"/>
    </x:row>
    <x:row r="225" ht="24" customHeight="1">
      <x:c r="A225" s="10"/>
      <x:c r="B225" s="10"/>
    </x:row>
    <x:row r="226" ht="24" customHeight="1">
      <x:c r="A226" s="10"/>
      <x:c r="B226" s="10"/>
    </x:row>
    <x:row r="227" ht="24" customHeight="1">
      <x:c r="A227" s="10"/>
      <x:c r="B227" s="10"/>
    </x:row>
    <x:row r="228" ht="24" customHeight="1">
      <x:c r="A228" s="10"/>
      <x:c r="B228" s="10"/>
    </x:row>
    <x:row r="229" ht="24" customHeight="1">
      <x:c r="A229" s="10"/>
      <x:c r="B229" s="10"/>
    </x:row>
    <x:row r="230" ht="24" customHeight="1">
      <x:c r="A230" s="10"/>
      <x:c r="B230" s="10"/>
    </x:row>
    <x:row r="231" ht="24" customHeight="1">
      <x:c r="A231" s="10"/>
      <x:c r="B231" s="10"/>
    </x:row>
    <x:row r="232" ht="24" customHeight="1">
      <x:c r="A232" s="10"/>
      <x:c r="B232" s="10"/>
    </x:row>
    <x:row r="233" ht="24" customHeight="1">
      <x:c r="A233" s="10"/>
      <x:c r="B233" s="10"/>
    </x:row>
    <x:row r="234" ht="24" customHeight="1">
      <x:c r="A234" s="10"/>
      <x:c r="B234" s="10"/>
    </x:row>
    <x:row r="235" ht="24" customHeight="1">
      <x:c r="A235" s="10"/>
      <x:c r="B235" s="10"/>
    </x:row>
    <x:row r="236" ht="24" customHeight="1">
      <x:c r="A236" s="10"/>
      <x:c r="B236" s="10"/>
    </x:row>
    <x:row r="237" ht="24" customHeight="1">
      <x:c r="A237" s="10"/>
      <x:c r="B237" s="10"/>
    </x:row>
    <x:row r="238" ht="24" customHeight="1">
      <x:c r="A238" s="10"/>
      <x:c r="B238" s="10"/>
    </x:row>
    <x:row r="239" ht="24" customHeight="1">
      <x:c r="A239" s="10"/>
      <x:c r="B239" s="10"/>
    </x:row>
    <x:row r="240" ht="24" customHeight="1">
      <x:c r="A240" s="10"/>
      <x:c r="B240" s="10"/>
    </x:row>
    <x:row r="241" ht="24" customHeight="1">
      <x:c r="A241" s="10"/>
      <x:c r="B241" s="10"/>
    </x:row>
    <x:row r="242" ht="24" customHeight="1">
      <x:c r="A242" s="10"/>
      <x:c r="B242" s="10"/>
    </x:row>
    <x:row r="243" ht="24" customHeight="1">
      <x:c r="A243" s="10"/>
      <x:c r="B243" s="10"/>
    </x:row>
    <x:row r="244" ht="24" customHeight="1">
      <x:c r="A244" s="10"/>
      <x:c r="B244" s="10"/>
    </x:row>
    <x:row r="245" ht="24" customHeight="1">
      <x:c r="A245" s="10"/>
      <x:c r="B245" s="10"/>
    </x:row>
    <x:row r="246" ht="24" customHeight="1">
      <x:c r="A246" s="10"/>
      <x:c r="B246" s="10"/>
    </x:row>
    <x:row r="247" ht="24" customHeight="1">
      <x:c r="A247" s="10"/>
      <x:c r="B247" s="10"/>
    </x:row>
    <x:row r="248" ht="24" customHeight="1">
      <x:c r="A248" s="10"/>
      <x:c r="B248" s="10"/>
    </x:row>
    <x:row r="249" ht="24" customHeight="1">
      <x:c r="A249" s="10"/>
      <x:c r="B249" s="10"/>
    </x:row>
    <x:row r="250" ht="24" customHeight="1">
      <x:c r="A250" s="10"/>
      <x:c r="B250" s="10"/>
    </x:row>
  </x:sheetData>
  <x:mergeCells>
    <x:mergeCell ref="A1:B2"/>
    <x:mergeCell ref="A3:B3"/>
  </x:mergeCells>
  <x:pageMargins left="0.7" right="0.7" top="0.75" bottom="0.75" header="0.3" footer="0.3"/>
  <x:tableParts count="1">
    <x:tablePart xmlns:r="http://schemas.openxmlformats.org/officeDocument/2006/relationships" r:id="R279d84043b1b45a5"/>
  </x:tableParts>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38" hidden="0" customWidth="1"/>
    <x:col min="3" max="3" width="36" hidden="0" customWidth="1"/>
    <x:col min="4" max="4" width="32" hidden="0" customWidth="1"/>
    <x:col min="5" max="5" width="36" hidden="0" customWidth="1"/>
    <x:col min="6" max="6" width="24" hidden="0" customWidth="1"/>
  </x:cols>
  <x:sheetData>
    <x:row r="1" ht="24" customHeight="1">
      <x:c r="A1" s="142" t="str">
        <x:v>DIVA PULSE / Réalisations V31</x:v>
      </x:c>
      <x:c r="B1" s="142"/>
      <x:c r="C1" s="142"/>
      <x:c r="D1" s="142"/>
      <x:c r="E1" s="142"/>
      <x:c r="F1" s="142"/>
    </x:row>
    <x:row r="2" ht="24" customHeight="1">
      <x:c r="A2" s="142"/>
      <x:c r="B2" s="142"/>
      <x:c r="C2" s="142"/>
      <x:c r="D2" s="142"/>
      <x:c r="E2" s="142"/>
      <x:c r="F2" s="142"/>
    </x:row>
    <x:row r="3" ht="42" customHeight="1">
      <x:c r="A3" s="57" t="str">
        <x:v>HISTORIQUE V31 : état de la livraison locale initiale. L’intégration et les preuves récentes figurent dans Livré V32 et Tests V32.</x:v>
      </x:c>
      <x:c r="B3" s="57"/>
      <x:c r="C3" s="57"/>
      <x:c r="D3" s="57"/>
      <x:c r="E3" s="57"/>
      <x:c r="F3" s="57"/>
    </x:row>
    <x:row r="5" ht="28" customHeight="1">
      <x:c r="A5" s="60" t="str">
        <x:v>Chantier</x:v>
      </x:c>
      <x:c r="B5" s="60" t="str">
        <x:v>Ajout</x:v>
      </x:c>
      <x:c r="C5" s="60" t="str">
        <x:v>Protection</x:v>
      </x:c>
      <x:c r="D5" s="60" t="str">
        <x:v>Preuve</x:v>
      </x:c>
      <x:c r="E5" s="60" t="str">
        <x:v>Limite</x:v>
      </x:c>
      <x:c r="F5" s="60" t="str">
        <x:v>Publication</x:v>
      </x:c>
    </x:row>
    <x:row r="6" ht="100" customHeight="1">
      <x:c r="A6" s="63" t="str">
        <x:v>Écoute Director</x:v>
      </x:c>
      <x:c r="B6" s="63" t="str">
        <x:v>Lecture, pause, arrêt, scrub, vitesse et volume ; boucle A/B.</x:v>
      </x:c>
      <x:c r="C6" s="63" t="str">
        <x:v>Source et gain propres ; horloge audio unique ; fermeture sans son résiduel.</x:v>
      </x:c>
      <x:c r="D6" s="63" t="str">
        <x:v>src/director-audio.js ; tests/v31.test.cjs ; parcours navigateur V31.</x:v>
      </x:c>
      <x:c r="E6" s="63" t="str">
        <x:v>Latence acoustique et vrais appareils non mesurés.</x:v>
      </x:c>
      <x:c r="F6" s="63" t="str">
        <x:v>Local · non publié</x:v>
      </x:c>
    </x:row>
    <x:row r="7" ht="100" customHeight="1">
      <x:c r="A7" s="63" t="str">
        <x:v>Rendu synchronisé</x:v>
      </x:c>
      <x:c r="B7" s="63" t="str">
        <x:v>Échantillonnage de l'horloge à chaque rendu ; suppression du rendu doublonné.</x:v>
      </x:c>
      <x:c r="C7" s="63" t="str">
        <x:v>Pas de seconde horloge liée à un minuteur d'interface.</x:v>
      </x:c>
      <x:c r="D7" s="63" t="str">
        <x:v>src/stage.js ; src/director-app.js.</x:v>
      </x:c>
      <x:c r="E7" s="63" t="str">
        <x:v>Cadence réelle dépend du matériel ; pas de promesse de latence nulle.</x:v>
      </x:c>
      <x:c r="F7" s="63" t="str">
        <x:v>Local · non publié</x:v>
      </x:c>
    </x:row>
    <x:row r="8" ht="100" customHeight="1">
      <x:c r="A8" s="63" t="str">
        <x:v>Glisser groupé</x:v>
      </x:c>
      <x:c r="B8" s="63" t="str">
        <x:v>Clips + caméra + lumière + formations, avec grille musicale.</x:v>
      </x:c>
      <x:c r="C8" s="63" t="str">
        <x:v>Validation globale ; une annulation ; refus des collisions et interruptions.</x:v>
      </x:c>
      <x:c r="D8" s="63" t="str">
        <x:v>Tests Node et souris contrôlée Chromium.</x:v>
      </x:c>
      <x:c r="E8" s="63" t="str">
        <x:v>Gestes physiques tactiles/stylet à qualifier.</x:v>
      </x:c>
      <x:c r="F8" s="63" t="str">
        <x:v>Local · non publié</x:v>
      </x:c>
    </x:row>
    <x:row r="9" ht="100" customHeight="1">
      <x:c r="A9" s="63" t="str">
        <x:v>Fusion / scission</x:v>
      </x:c>
      <x:c r="B9" s="63" t="str">
        <x:v>Fusion compatible ; coupe au tempo variable sans rupture du temps VMD.</x:v>
      </x:c>
      <x:c r="C9" s="63" t="str">
        <x:v>Paramètres, contiguïté, source et transitions vérifiés.</x:v>
      </x:c>
      <x:c r="D9" s="63" t="str">
        <x:v>47 tests ciblés V31 dont plusieurs cas de refus.</x:v>
      </x:c>
      <x:c r="E9" s="63" t="str">
        <x:v>LoopBeats actif, fondus coupés et root motion restent ouverts.</x:v>
      </x:c>
      <x:c r="F9" s="63" t="str">
        <x:v>Local · non publié</x:v>
      </x:c>
    </x:row>
    <x:row r="10" ht="100" customHeight="1">
      <x:c r="A10" s="63" t="str">
        <x:v>Copie inter-danseurs</x:v>
      </x:c>
      <x:c r="B10" s="63" t="str">
        <x:v>Copie vers un autre danseur du même modèle.</x:v>
      </x:c>
      <x:c r="C10" s="63" t="str">
        <x:v>Modèle mémorisé à la copie ; modèle inconnu/différent refusé.</x:v>
      </x:c>
      <x:c r="D10" s="63" t="str">
        <x:v>Tests de copie immuable et modèle source périmé.</x:v>
      </x:c>
      <x:c r="E10" s="63" t="str">
        <x:v>Aucun retargeting général entre rigs.</x:v>
      </x:c>
      <x:c r="F10" s="63" t="str">
        <x:v>Local · non publié</x:v>
      </x:c>
    </x:row>
    <x:row r="11" ht="100" customHeight="1">
      <x:c r="A11" s="63" t="str">
        <x:v>Formations</x:v>
      </x:c>
      <x:c r="B11" s="63" t="str">
        <x:v>Temps, positions numériques X/Y/Z, visibilité, lead et opérations de groupe.</x:v>
      </x:c>
      <x:c r="C11" s="63" t="str">
        <x:v>Normalisation et brouillons non destructifs.</x:v>
      </x:c>
      <x:c r="D11" s="63" t="str">
        <x:v>Parcours de récupération/export/import et tests Node.</x:v>
      </x:c>
      <x:c r="E11" s="63" t="str">
        <x:v>Pas de poignées 3D ni contacts de pieds.</x:v>
      </x:c>
      <x:c r="F11" s="63" t="str">
        <x:v>Local · non publié</x:v>
      </x:c>
    </x:row>
  </x:sheetData>
  <x:mergeCells>
    <x:mergeCell ref="A1:F2"/>
    <x:mergeCell ref="A3:F3"/>
  </x:mergeCells>
  <x:pageMargins left="0.7" right="0.7" top="0.75" bottom="0.75" header="0.3" footer="0.3"/>
  <x:tableParts count="1">
    <x:tablePart xmlns:r="http://schemas.openxmlformats.org/officeDocument/2006/relationships" r:id="R62823a230df44e90"/>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8" hidden="0" customWidth="1"/>
    <x:col min="2" max="2" width="13" hidden="0" customWidth="1"/>
    <x:col min="3" max="3" width="13" hidden="0" customWidth="1"/>
    <x:col min="4" max="4" width="22" hidden="0" customWidth="1"/>
    <x:col min="5" max="5" width="36" hidden="0" customWidth="1"/>
    <x:col min="6" max="6" width="42" hidden="0" customWidth="1"/>
  </x:cols>
  <x:sheetData>
    <x:row r="1" ht="24" customHeight="1">
      <x:c r="A1" s="142" t="str">
        <x:v>DIVA PULSE / Vérification V31</x:v>
      </x:c>
      <x:c r="B1" s="142"/>
      <x:c r="C1" s="142"/>
      <x:c r="D1" s="142"/>
      <x:c r="E1" s="142"/>
      <x:c r="F1" s="142"/>
    </x:row>
    <x:row r="2" ht="24" customHeight="1">
      <x:c r="A2" s="142"/>
      <x:c r="B2" s="142"/>
      <x:c r="C2" s="142"/>
      <x:c r="D2" s="142"/>
      <x:c r="E2" s="142"/>
      <x:c r="F2" s="142"/>
    </x:row>
    <x:row r="3" ht="42" customHeight="1">
      <x:c r="A3" s="57" t="str">
        <x:v>HISTORIQUE : ces tests locaux V31 ne remplacent pas les résultats natifs V32. Consulter Tests V32 pour la vérification actuelle.</x:v>
      </x:c>
      <x:c r="B3" s="57"/>
      <x:c r="C3" s="57"/>
      <x:c r="D3" s="57"/>
      <x:c r="E3" s="57"/>
      <x:c r="F3" s="57"/>
    </x:row>
    <x:row r="5" ht="28" customHeight="1">
      <x:c r="A5" s="60" t="str">
        <x:v>Suite</x:v>
      </x:c>
      <x:c r="B5" s="60" t="str">
        <x:v>Exécutés</x:v>
      </x:c>
      <x:c r="C5" s="60" t="str">
        <x:v>Réussis</x:v>
      </x:c>
      <x:c r="D5" s="60" t="str">
        <x:v>État</x:v>
      </x:c>
      <x:c r="E5" s="60" t="str">
        <x:v>Environnement</x:v>
      </x:c>
      <x:c r="F5" s="60" t="str">
        <x:v>Preuve / limite</x:v>
      </x:c>
    </x:row>
    <x:row r="6" ht="72" customHeight="1">
      <x:c r="A6" s="63" t="str">
        <x:v>Tests logiques</x:v>
      </x:c>
      <x:c r="B6" s="64" t="n">
        <x:v>909</x:v>
      </x:c>
      <x:c r="C6" s="64" t="n">
        <x:v>909</x:v>
      </x:c>
      <x:c r="D6" s="63" t="str">
        <x:v>Réussi</x:v>
      </x:c>
      <x:c r="E6" s="63" t="str">
        <x:v>Node 22 ; 47 nouveaux cas</x:v>
      </x:c>
      <x:c r="F6" s="63" t="str">
        <x:v>qa/v31/logic.tap ; même build V31</x:v>
      </x:c>
    </x:row>
    <x:row r="7" ht="72" customHeight="1">
      <x:c r="A7" s="63" t="str">
        <x:v>Parcours V31</x:v>
      </x:c>
      <x:c r="B7" s="64" t="n">
        <x:v>32</x:v>
      </x:c>
      <x:c r="C7" s="64" t="n">
        <x:v>32</x:v>
      </x:c>
      <x:c r="D7" s="63" t="str">
        <x:v>Réussi</x:v>
      </x:c>
      <x:c r="E7" s="63" t="str">
        <x:v>Document injecté ; Web Audio réel</x:v>
      </x:c>
      <x:c r="F7" s="63" t="str">
        <x:v>qa/v31/audition/results.json ; stockage temporaire</x:v>
      </x:c>
    </x:row>
    <x:row r="8" ht="72" customHeight="1">
      <x:c r="A8" s="63" t="str">
        <x:v>Régression montage V30</x:v>
      </x:c>
      <x:c r="B8" s="64" t="n">
        <x:v>18</x:v>
      </x:c>
      <x:c r="C8" s="64" t="n">
        <x:v>18</x:v>
      </x:c>
      <x:c r="D8" s="63" t="str">
        <x:v>Réussi</x:v>
      </x:c>
      <x:c r="E8" s="63" t="str">
        <x:v>Document injecté ; build V31 final</x:v>
      </x:c>
      <x:c r="F8" s="63" t="str">
        <x:v>qa/v31/regression-workflow/results.json</x:v>
      </x:c>
    </x:row>
    <x:row r="9" ht="72" customHeight="1">
      <x:c r="A9" s="63" t="str">
        <x:v>Régression Director V29</x:v>
      </x:c>
      <x:c r="B9" s="64" t="n">
        <x:v>23</x:v>
      </x:c>
      <x:c r="C9" s="64" t="n">
        <x:v>23</x:v>
      </x:c>
      <x:c r="D9" s="63" t="str">
        <x:v>Réussi</x:v>
      </x:c>
      <x:c r="E9" s="63" t="str">
        <x:v>Document injecté ; build V31 final</x:v>
      </x:c>
      <x:c r="F9" s="63" t="str">
        <x:v>qa/v31/regression-director/results.json</x:v>
      </x:c>
    </x:row>
    <x:row r="10" ht="72" customHeight="1">
      <x:c r="A10" s="63" t="str">
        <x:v>Lanceur</x:v>
      </x:c>
      <x:c r="B10" s="64" t="n">
        <x:v>10</x:v>
      </x:c>
      <x:c r="C10" s="64" t="n">
        <x:v>10</x:v>
      </x:c>
      <x:c r="D10" s="63" t="str">
        <x:v>Réussi</x:v>
      </x:c>
      <x:c r="E10" s="63" t="str">
        <x:v>Processus Python local</x:v>
      </x:c>
      <x:c r="F10" s="63" t="str">
        <x:v>qa/v31/launcher.txt</x:v>
      </x:c>
    </x:row>
    <x:row r="11" ht="72" customHeight="1">
      <x:c r="A11" s="63" t="str">
        <x:v>Persistance native V31</x:v>
      </x:c>
      <x:c r="B11" s="64" t="n">
        <x:v>0</x:v>
      </x:c>
      <x:c r="C11" s="64" t="n">
        <x:v>0</x:v>
      </x:c>
      <x:c r="D11" s="63" t="str">
        <x:v>Bloqué</x:v>
      </x:c>
      <x:c r="E11" s="63" t="str">
        <x:v>Navigation HTTP locale bloquée</x:v>
      </x:c>
      <x:c r="F11" s="63" t="str">
        <x:v>qa/v31/native-blocker.json ; aucun contournement</x:v>
      </x:c>
    </x:row>
    <x:row r="12" ht="72" customHeight="1">
      <x:c r="A12" s="63" t="str">
        <x:v>CI GitHub V31</x:v>
      </x:c>
      <x:c r="B12" s="64" t="n">
        <x:v>0</x:v>
      </x:c>
      <x:c r="C12" s="64" t="n">
        <x:v>0</x:v>
      </x:c>
      <x:c r="D12" s="63" t="str">
        <x:v>Non exécutée</x:v>
      </x:c>
      <x:c r="E12" s="63" t="str">
        <x:v>Changements non publiés</x:v>
      </x:c>
      <x:c r="F12" s="63" t="str">
        <x:v>La CI V30 réussie ne valide pas ce nouveau build.</x:v>
      </x:c>
    </x:row>
  </x:sheetData>
  <x:mergeCells>
    <x:mergeCell ref="A1:F2"/>
    <x:mergeCell ref="A3:F3"/>
  </x:mergeCells>
  <x:pageMargins left="0.7" right="0.7" top="0.75" bottom="0.75" header="0.3" footer="0.3"/>
  <x:tableParts count="1">
    <x:tablePart xmlns:r="http://schemas.openxmlformats.org/officeDocument/2006/relationships" r:id="R15a4a4750dd44452"/>
  </x:tableParts>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9" hidden="0" customWidth="1"/>
    <x:col min="2" max="2" width="28" hidden="0" customWidth="1"/>
    <x:col min="3" max="3" width="46" hidden="0" customWidth="1"/>
    <x:col min="4" max="4" width="44" hidden="0" customWidth="1"/>
    <x:col min="5" max="5" width="40" hidden="0" customWidth="1"/>
    <x:col min="6" max="6" width="42" hidden="0" customWidth="1"/>
  </x:cols>
  <x:sheetData>
    <x:row r="1" ht="24" customHeight="1">
      <x:c r="A1" s="126" t="str">
        <x:v>DIVA PULSE  /  Réalisations V32</x:v>
      </x:c>
      <x:c r="B1" s="126"/>
      <x:c r="C1" s="126"/>
      <x:c r="D1" s="126"/>
      <x:c r="E1" s="126"/>
      <x:c r="F1" s="126"/>
    </x:row>
    <x:row r="2" ht="24" customHeight="1">
      <x:c r="A2" s="126"/>
      <x:c r="B2" s="126"/>
      <x:c r="C2" s="126"/>
      <x:c r="D2" s="126"/>
      <x:c r="E2" s="126"/>
      <x:c r="F2" s="126"/>
    </x:row>
    <x:row r="3" ht="42" customHeight="1">
      <x:c r="A3" s="129" t="str">
        <x:v>Portée précise des nouveautés et de la réintégration V31. Les limites restent dans l’onglet Manquants.</x:v>
      </x:c>
      <x:c r="B3" s="129"/>
      <x:c r="C3" s="129"/>
      <x:c r="D3" s="129"/>
      <x:c r="E3" s="129"/>
      <x:c r="F3" s="129"/>
    </x:row>
    <x:row r="5" ht="30" customHeight="1">
      <x:c r="A5" s="132" t="str">
        <x:v>ID</x:v>
      </x:c>
      <x:c r="B5" s="132" t="str">
        <x:v>Livraison</x:v>
      </x:c>
      <x:c r="C5" s="132" t="str">
        <x:v>Comportement réalisé</x:v>
      </x:c>
      <x:c r="D5" s="132" t="str">
        <x:v>Conservation / reprise</x:v>
      </x:c>
      <x:c r="E5" s="132" t="str">
        <x:v>Limites</x:v>
      </x:c>
      <x:c r="F5" s="132" t="str">
        <x:v>Preuves</x:v>
      </x:c>
    </x:row>
    <x:row r="6" ht="86" customHeight="1">
      <x:c r="A6" s="135" t="str">
        <x:v>DIR-13 / DIR-21</x:v>
      </x:c>
      <x:c r="B6" s="135" t="str">
        <x:v>Boucles au tempo variable</x:v>
      </x:c>
      <x:c r="C6" s="135" t="str">
        <x:v>Origine VMD inchangée ; phase source en temps ; scission puis fusion sur plusieurs cycles.</x:v>
      </x:c>
      <x:c r="D6" s="135" t="str">
        <x:v>Modèles, partitions et sons existants conservés.</x:v>
      </x:c>
      <x:c r="E6" s="135" t="str">
        <x:v>Pas de root motion ni de lissage artistique universel.</x:v>
      </x:c>
      <x:c r="F6" s="135" t="str">
        <x:v>src/motion-sync.js ; tests/v32.test.cjs</x:v>
      </x:c>
    </x:row>
    <x:row r="7" ht="86" customHeight="1">
      <x:c r="A7" s="135" t="str">
        <x:v>DIR-21</x:v>
      </x:c>
      <x:c r="B7" s="135" t="str">
        <x:v>Schéma Director 20</x:v>
      </x:c>
      <x:c r="C7" s="135" t="str">
        <x:v>Version 20 requise uniquement avec phase ; imports 19/20 contrôlés ; refus des phases déguisées en V19.</x:v>
      </x:c>
      <x:c r="D7" s="135" t="str">
        <x:v>Anciens projets sans phase : V19.</x:v>
      </x:c>
      <x:c r="E7" s="135" t="str">
        <x:v>L’ancienne application ne peut pas reproduire un nouveau champ inconnu.</x:v>
      </x:c>
      <x:c r="F7" s="135" t="str">
        <x:v>src/director-core.js ; src/director-workflow.js</x:v>
      </x:c>
    </x:row>
    <x:row r="8" ht="86" customHeight="1">
      <x:c r="A8" s="135" t="str">
        <x:v>SAV-02</x:v>
      </x:c>
      <x:c r="B8" s="135" t="str">
        <x:v>Écritures et suppressions atomiques</x:v>
      </x:c>
      <x:c r="C8" s="135" t="str">
        <x:v>Validation et clonage avant mutation, une transaction, caches promus au commit seulement.</x:v>
      </x:c>
      <x:c r="D8" s="135" t="str">
        <x:v>Wrappers AutoShow et MMD corrigés pour transmettre les suppressions.</x:v>
      </x:c>
      <x:c r="E8" s="135" t="str">
        <x:v>Abort explicite couvert ; crash système distinct.</x:v>
      </x:c>
      <x:c r="F8" s="135" t="str">
        <x:v>src/services.js ; tests/v32_transactions_test.py</x:v>
      </x:c>
    </x:row>
    <x:row r="9" ht="86" customHeight="1">
      <x:c r="A9" s="135" t="str">
        <x:v>SAV-13</x:v>
      </x:c>
      <x:c r="B9" s="135" t="str">
        <x:v>Enregistrement du Studio</x:v>
      </x:c>
      <x:c r="C9" s="135" t="str">
        <x:v>Construction du candidat sans modifier la source ; morceau et suppression du brouillon ensemble.</x:v>
      </x:c>
      <x:c r="D9" s="135" t="str">
        <x:v>Échec : édition sale et brouillon conservés ; nouvelle tentative possible.</x:v>
      </x:c>
      <x:c r="E9" s="135" t="str">
        <x:v>Pas de qualification panne disque ou éviction navigateur.</x:v>
      </x:c>
      <x:c r="F9" s="135" t="str">
        <x:v>src/editor.js ; src/live-app.js</x:v>
      </x:c>
    </x:row>
    <x:row r="10" ht="86" customHeight="1">
      <x:c r="A10" s="135" t="str">
        <x:v>V31</x:v>
      </x:c>
      <x:c r="B10" s="135" t="str">
        <x:v>Intégration de la passe locale</x:v>
      </x:c>
      <x:c r="C10" s="135" t="str">
        <x:v>Audio A/B, vitesse, groupes, formations numériques, fusion et transfert entre modèles identiques.</x:v>
      </x:c>
      <x:c r="D10" s="135" t="str">
        <x:v>Les fonctionnalités V31 ne restent plus séparées de la PR.</x:v>
      </x:c>
      <x:c r="E10" s="135" t="str">
        <x:v>Retargeting général et manipulation 3D restent ouverts.</x:v>
      </x:c>
      <x:c r="F10" s="135" t="str">
        <x:v>tests/v31_browser_test.py ; PR #1</x:v>
      </x:c>
    </x:row>
  </x:sheetData>
  <x:mergeCells>
    <x:mergeCell ref="A1:F2"/>
    <x:mergeCell ref="A3:F3"/>
  </x:mergeCells>
  <x:pageMargins left="0.7" right="0.7" top="0.75" bottom="0.75" header="0.3" footer="0.3"/>
  <x:tableParts count="1">
    <x:tablePart xmlns:r="http://schemas.openxmlformats.org/officeDocument/2006/relationships" r:id="R9fec52fc18444d2c"/>
  </x:tableParts>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6" hidden="0" customWidth="1"/>
    <x:col min="3" max="3" width="33" hidden="0" customWidth="1"/>
    <x:col min="4" max="4" width="46" hidden="0" customWidth="1"/>
    <x:col min="5" max="5" width="24" hidden="0" customWidth="1"/>
    <x:col min="6" max="6" width="42" hidden="0" customWidth="1"/>
  </x:cols>
  <x:sheetData>
    <x:row r="1" ht="24" customHeight="1">
      <x:c r="A1" s="126" t="str">
        <x:v>DIVA PULSE  /  Validation V32</x:v>
      </x:c>
      <x:c r="B1" s="126"/>
      <x:c r="C1" s="126"/>
      <x:c r="D1" s="126"/>
      <x:c r="E1" s="126"/>
      <x:c r="F1" s="126"/>
    </x:row>
    <x:row r="2" ht="24" customHeight="1">
      <x:c r="A2" s="126"/>
      <x:c r="B2" s="126"/>
      <x:c r="C2" s="126"/>
      <x:c r="D2" s="126"/>
      <x:c r="E2" s="126"/>
      <x:c r="F2" s="126"/>
    </x:row>
    <x:row r="3" ht="42" customHeight="1">
      <x:c r="A3" s="129" t="str">
        <x:v>Réussite GitHub Actions 40522984445. Build 22bdfe014b57… ; les 23 contrôles Director restent par document injecté. Preuves actuelles et historiques séparées.</x:v>
      </x:c>
      <x:c r="B3" s="129"/>
      <x:c r="C3" s="129"/>
      <x:c r="D3" s="129"/>
      <x:c r="E3" s="129"/>
      <x:c r="F3" s="129"/>
    </x:row>
    <x:row r="5" ht="30" customHeight="1">
      <x:c r="A5" s="132" t="str">
        <x:v>Suite</x:v>
      </x:c>
      <x:c r="B5" s="132" t="str">
        <x:v>Contrôles</x:v>
      </x:c>
      <x:c r="C5" s="132" t="str">
        <x:v>Environnement / objet</x:v>
      </x:c>
      <x:c r="D5" s="132" t="str">
        <x:v>Limite</x:v>
      </x:c>
      <x:c r="E5" s="132" t="str">
        <x:v>Résultat</x:v>
      </x:c>
      <x:c r="F5" s="132" t="str">
        <x:v>Fichier</x:v>
      </x:c>
    </x:row>
    <x:row r="6" ht="86" customHeight="1">
      <x:c r="A6" s="135" t="str">
        <x:v>Node</x:v>
      </x:c>
      <x:c r="B6" s="135" t="str">
        <x:v>947 / 947</x:v>
      </x:c>
      <x:c r="C6" s="135" t="str">
        <x:v>Contrats purs et transactions</x:v>
      </x:c>
      <x:c r="D6" s="135" t="str">
        <x:v>38 nouveaux par rapport à V31 ; 85 depuis V30.</x:v>
      </x:c>
      <x:c r="E6" s="135" t="str">
        <x:v>Réussi sur GitHub</x:v>
      </x:c>
      <x:c r="F6" s="135" t="str">
        <x:v>tests/v32.test.cjs ; qa/v32/logic.tap</x:v>
      </x:c>
    </x:row>
    <x:row r="7" ht="86" customHeight="1">
      <x:c r="A7" s="135" t="str">
        <x:v>Lanceur</x:v>
      </x:c>
      <x:c r="B7" s="135" t="str">
        <x:v>10 / 10</x:v>
      </x:c>
      <x:c r="C7" s="135" t="str">
        <x:v>Serveur local et fichiers</x:v>
      </x:c>
      <x:c r="D7" s="135" t="str">
        <x:v>Aucun périphérique physique qualifié.</x:v>
      </x:c>
      <x:c r="E7" s="135" t="str">
        <x:v>Réussi sur GitHub</x:v>
      </x:c>
      <x:c r="F7" s="135" t="str">
        <x:v>tests/launcher_test.py</x:v>
      </x:c>
    </x:row>
    <x:row r="8" ht="86" customHeight="1">
      <x:c r="A8" s="135" t="str">
        <x:v>Boucles + Studio</x:v>
      </x:c>
      <x:c r="B8" s="135" t="str">
        <x:v>16 / 16</x:v>
      </x:c>
      <x:c r="C8" s="135" t="str">
        <x:v>Phase, schéma, reprise Studio</x:v>
      </x:c>
      <x:c r="D8" s="135" t="str">
        <x:v>HTTP/IndexedDB natif ; pas de qualification iPhone.</x:v>
      </x:c>
      <x:c r="E8" s="135" t="str">
        <x:v>Réussi sur GitHub</x:v>
      </x:c>
      <x:c r="F8" s="135" t="str">
        <x:v>tests/v32_browser_test.py</x:v>
      </x:c>
    </x:row>
    <x:row r="9" ht="86" customHeight="1">
      <x:c r="A9" s="135" t="str">
        <x:v>Audio V31</x:v>
      </x:c>
      <x:c r="B9" s="135" t="str">
        <x:v>32 / 32</x:v>
      </x:c>
      <x:c r="C9" s="135" t="str">
        <x:v>Web Audio, lecture, groupes</x:v>
      </x:c>
      <x:c r="D9" s="135" t="str">
        <x:v>Pas de mesure de latence matérielle.</x:v>
      </x:c>
      <x:c r="E9" s="135" t="str">
        <x:v>Réussi sur GitHub</x:v>
      </x:c>
      <x:c r="F9" s="135" t="str">
        <x:v>tests/v31_browser_test.py</x:v>
      </x:c>
    </x:row>
    <x:row r="10" ht="86" customHeight="1">
      <x:c r="A10" s="135" t="str">
        <x:v>Montage V30</x:v>
      </x:c>
      <x:c r="B10" s="135" t="str">
        <x:v>18 / 18</x:v>
      </x:c>
      <x:c r="C10" s="135" t="str">
        <x:v>Clavier, grille, récupération</x:v>
      </x:c>
      <x:c r="D10" s="135" t="str">
        <x:v>Régression réexécutée sur V32.</x:v>
      </x:c>
      <x:c r="E10" s="135" t="str">
        <x:v>Réussi sur GitHub</x:v>
      </x:c>
      <x:c r="F10" s="135" t="str">
        <x:v>tests/v30_browser_test.py</x:v>
      </x:c>
    </x:row>
    <x:row r="11" ht="86" customHeight="1">
      <x:c r="A11" s="135" t="str">
        <x:v>Director</x:v>
      </x:c>
      <x:c r="B11" s="135" t="str">
        <x:v>23 / 23</x:v>
      </x:c>
      <x:c r="C11" s="135" t="str">
        <x:v>WebGL logiciel / document injecté</x:v>
      </x:c>
      <x:c r="D11" s="135" t="str">
        <x:v>N’est pas une preuve IndexedDB native.</x:v>
      </x:c>
      <x:c r="E11" s="135" t="str">
        <x:v>Réussi / document injecté</x:v>
      </x:c>
      <x:c r="F11" s="135" t="str">
        <x:v>tests/v29_browser_test.py</x:v>
      </x:c>
    </x:row>
    <x:row r="12" ht="86" customHeight="1">
      <x:c r="A12" s="135" t="str">
        <x:v>Persistance</x:v>
      </x:c>
      <x:c r="B12" s="135" t="str">
        <x:v>14 / 14</x:v>
      </x:c>
      <x:c r="C12" s="135" t="str">
        <x:v>Profil navigateur persistant</x:v>
      </x:c>
      <x:c r="D12" s="135" t="str">
        <x:v>Fermeture/réouverture, octets, verrou, hors ligne.</x:v>
      </x:c>
      <x:c r="E12" s="135" t="str">
        <x:v>Réussi sur GitHub</x:v>
      </x:c>
      <x:c r="F12" s="135" t="str">
        <x:v>tests/v29_persistence_test.py</x:v>
      </x:c>
    </x:row>
    <x:row r="13" ht="86" customHeight="1">
      <x:c r="A13" s="135" t="str">
        <x:v>Transactions</x:v>
      </x:c>
      <x:c r="B13" s="135" t="str">
        <x:v>11 / 11</x:v>
      </x:c>
      <x:c r="C13" s="135" t="str">
        <x:v>IDBTransaction.abort réel</x:v>
      </x:c>
      <x:c r="D13" s="135" t="str">
        <x:v>Après succès d’un IDBRequest ; rollback mixte, Studio et rechargement.</x:v>
      </x:c>
      <x:c r="E13" s="135" t="str">
        <x:v>Réussi sur GitHub</x:v>
      </x:c>
      <x:c r="F13" s="135" t="str">
        <x:v>tests/v32_transactions_test.py</x:v>
      </x:c>
    </x:row>
  </x:sheetData>
  <x:mergeCells>
    <x:mergeCell ref="A1:F2"/>
    <x:mergeCell ref="A3:F3"/>
  </x:mergeCells>
  <x:pageMargins left="0.7" right="0.7" top="0.75" bottom="0.75" header="0.3" footer="0.3"/>
  <x:tableParts count="1">
    <x:tablePart xmlns:r="http://schemas.openxmlformats.org/officeDocument/2006/relationships" r:id="R415908a7d8ac461a"/>
  </x:tableParts>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32" hidden="0" customWidth="1"/>
    <x:col min="3" max="3" width="40" hidden="0" customWidth="1"/>
    <x:col min="4" max="4" width="40" hidden="0" customWidth="1"/>
    <x:col min="5" max="5" width="40" hidden="0" customWidth="1"/>
  </x:cols>
  <x:sheetData>
    <x:row r="1" ht="27" customHeight="1">
      <x:c r="A1" s="219" t="str">
        <x:v>DIVA PULSE / Livré V33</x:v>
      </x:c>
      <x:c r="B1" s="219"/>
      <x:c r="C1" s="219"/>
      <x:c r="D1" s="219"/>
      <x:c r="E1" s="219"/>
    </x:row>
    <x:row r="2" ht="27" customHeight="1">
      <x:c r="A2" s="219"/>
      <x:c r="B2" s="219"/>
      <x:c r="C2" s="219"/>
      <x:c r="D2" s="219"/>
      <x:c r="E2" s="219"/>
    </x:row>
    <x:row r="4" ht="28" customHeight="1">
      <x:c r="A4" s="222" t="str">
        <x:v>ID</x:v>
      </x:c>
      <x:c r="B4" s="222" t="str">
        <x:v>Fonction</x:v>
      </x:c>
      <x:c r="C4" s="222" t="str">
        <x:v>Livraison</x:v>
      </x:c>
      <x:c r="D4" s="222" t="str">
        <x:v>Validation</x:v>
      </x:c>
      <x:c r="E4" s="222" t="str">
        <x:v>Limites</x:v>
      </x:c>
    </x:row>
    <x:row r="5" ht="95" customHeight="1">
      <x:c r="A5" s="225" t="str">
        <x:v>GAME-09</x:v>
      </x:c>
      <x:c r="B5" s="225" t="str">
        <x:v>Reprise audio périmée après sortie</x:v>
      </x:c>
      <x:c r="C5" s="225" t="str">
        <x:v>Revalider la vue, l'état pause, la session de partition et la fin de partie après l'attente audio. Éviter les reprises concurrentes.</x:v>
      </x:c>
      <x:c r="D5" s="225" t="str">
        <x:v>Suspendre audio.init, quitter la partie puis résoudre : aucun redémarrage de source ni changement de vue.</x:v>
      </x:c>
      <x:c r="E5" s="225" t="str">
        <x:v>V33 : tests ciblés en Chromium/SwiftShader, document injecté et Web Audio réel. Lire qa/v33/feedback/results.json pour le mode ; aucune qualification matérielle.</x:v>
      </x:c>
    </x:row>
    <x:row r="6" ht="95" customHeight="1">
      <x:c r="A6" s="225" t="str">
        <x:v>GAME-10</x:v>
      </x:c>
      <x:c r="B6" s="225" t="str">
        <x:v>Perte de capture tactile et sources multiples</x:v>
      </x:c>
      <x:c r="C6" s="225" t="str">
        <x:v>Libération déléguée de la seule source tactile concernée ; aucune acquisition pendant pause/autoplay/replay. Les autres périphériques conservent leur maintien.</x:v>
      </x:c>
      <x:c r="D6" s="225" t="str">
        <x:v>Perdre la capture tactile pendant un maintien clavier simultané : le clavier reste actif ; dernier relâchement termine le maintien.</x:v>
      </x:c>
      <x:c r="E6" s="225" t="str">
        <x:v>V33 : tests ciblés en Chromium/SwiftShader, document injecté et Web Audio réel. Lire qa/v33/feedback/results.json pour le mode ; aucune qualification matérielle. Test de PointerEvent, pas d'écran tactile physique.</x:v>
      </x:c>
    </x:row>
    <x:row r="7" ht="95" customHeight="1">
      <x:c r="A7" s="225" t="str">
        <x:v>GAME-11</x:v>
      </x:c>
      <x:c r="B7" s="225" t="str">
        <x:v>Entrées invalides sans corruption de score</x:v>
      </x:c>
      <x:c r="C7" s="225" t="str">
        <x:v>Refuser les pistes non entières/hors 0–5 et temps non finis avant toute modification du moteur.</x:v>
      </x:c>
      <x:c r="D7" s="225" t="str">
        <x:v>Les appels invalides laissent résultat, événements et entrées inchangés ; le maintien valide poursuit son bonus.</x:v>
      </x:c>
      <x:c r="E7" s="225" t="str">
        <x:v>Les règles, fenêtres de jugement et signatures de records ne sont pas modifiées.</x:v>
      </x:c>
    </x:row>
    <x:row r="8" ht="95" customHeight="1">
      <x:c r="A8" s="225" t="str">
        <x:v>FX-01</x:v>
      </x:c>
      <x:c r="B8" s="225" t="str">
        <x:v>Impacts différenciés et bornés</x:v>
      </x:c>
      <x:c r="C8" s="225" t="str">
        <x:v>Halo et rayons COOL, anneau FINE, repère d'erreur discret, indication directionnelle slide ; maximum 48 impacts temporaires.</x:v>
      </x:c>
      <x:c r="D8" s="225" t="str">
        <x:v>10 000 événements ne dépassent jamais 48 effets ; expiration déterministe ; aucun changement de résultat.</x:v>
      </x:c>
      <x:c r="E8" s="225" t="str">
        <x:v>V33 : tests ciblés en Chromium/SwiftShader, document injecté et Web Audio réel. Lire qa/v33/feedback/results.json pour le mode ; aucune qualification matérielle. Aucun flash plein écran ; l'ancienne option Réduire les éclats reste prioritaire.</x:v>
      </x:c>
    </x:row>
    <x:row r="9" ht="95" customHeight="1">
      <x:c r="A9" s="225" t="str">
        <x:v>FX-02</x:v>
      </x:c>
      <x:c r="B9" s="225" t="str">
        <x:v>Progression visuelle des maintiens</x:v>
      </x:c>
      <x:c r="C9" s="225" t="str">
        <x:v>Arc de progression autour de la cible, calculé à partir du maintien actif et de l'horloge compensée.</x:v>
      </x:c>
      <x:c r="D9" s="225" t="str">
        <x:v>Progression bornée entre 0 et 1 ; disparition à la libération ; score inchangé.</x:v>
      </x:c>
      <x:c r="E9" s="225" t="str">
        <x:v>Jauge de bonus existant, pas une nouvelle règle de note longue ; ajustement artistique sur corpus dense encore ouvert.</x:v>
      </x:c>
    </x:row>
    <x:row r="10" ht="95" customHeight="1">
      <x:c r="A10" s="225" t="str">
        <x:v>SFX-01</x:v>
      </x:c>
      <x:c r="B10" s="225" t="str">
        <x:v>Trois signatures sonores procédurales</x:v>
      </x:c>
      <x:c r="C10" s="225" t="str">
        <x:v>Banque originale Pulse/Arcade/Soft, fréquences par piste, nuances par jugement et slide, attaque/relâchement adoucis ; buffers mis en cache.</x:v>
      </x:c>
      <x:c r="D10" s="225" t="str">
        <x:v>18 combinaisons style/jugement : PCM déterministe, fini, borné, début/fin à zéro ; rendu OfflineAudioContext valide.</x:v>
      </x:c>
      <x:c r="E10" s="225" t="str">
        <x:v>Aucun échantillon musical tiers. Qualité d'écoute et latence acoustique restent à vérifier sur appareils réels.</x:v>
      </x:c>
    </x:row>
    <x:row r="11" ht="95" customHeight="1">
      <x:c r="A11" s="225" t="str">
        <x:v>SFX-02</x:v>
      </x:c>
      <x:c r="B11" s="225" t="str">
        <x:v>Mute cohérent et polyphonie plafonnée</x:v>
      </x:c>
      <x:c r="C11" s="225" t="str">
        <x:v>Sons déclenchés par les jugements pour jeu/autoplay/replay ; respect du mute et volume ; 12 voix maximum ; coupure en pause/sortie ; erreurs sonores opt-in.</x:v>
      </x:c>
      <x:c r="D11" s="225" t="str">
        <x:v>Pas de doublon entrée/jugement ; aucun son désactivé ; 1 000 impacts restent sous le plafond ; les nœuds sont déconnectés.</x:v>
      </x:c>
      <x:c r="E11" s="225" t="str">
        <x:v>Le plafond concerne la nouvelle banque de feedback, pas tous les anciens sons du studio/métronome.</x:v>
      </x:c>
    </x:row>
    <x:row r="12" ht="95" customHeight="1">
      <x:c r="A12" s="225" t="str">
        <x:v>UX-07</x:v>
      </x:c>
      <x:c r="B12" s="225" t="str">
        <x:v>Préférence de mouvement et réglages de feedback</x:v>
      </x:c>
      <x:c r="C12" s="225" t="str">
        <x:v>Intensité 0–100 %, style SFX, erreurs sonores optionnelles. Réduire les mouvements et préférence système : halos fixes sans particules, scène calmée.</x:v>
      </x:c>
      <x:c r="D12" s="225" t="str">
        <x:v>Changement système et réglage utilisateur testés ; échec de sauvegarde ne modifie ni option enregistrée ni contrôle ; panneau à 390 px.</x:v>
      </x:c>
      <x:c r="E12" s="225" t="str">
        <x:v>Ne valide pas toutes les animations des menus, lecteurs d'écran ou sensibilités individuelles.</x:v>
      </x:c>
    </x:row>
    <x:row r="13" ht="95" customHeight="1">
      <x:c r="A13" s="225" t="str">
        <x:v>QA-12</x:v>
      </x:c>
      <x:c r="B13" s="225" t="str">
        <x:v>Contrats V33 gameplay, audio et VFX</x:v>
      </x:c>
      <x:c r="C13" s="225" t="str">
        <x:v>48 nouveaux tests logiques et 22 contrôles navigateur ciblés ; reproduction de la reprise après sortie ; limites de charge et rendu audio vérifiés.</x:v>
      </x:c>
      <x:c r="D13" s="225" t="str">
        <x:v>Rapport avec version, empreinte du build, mode de navigateur et zéro erreur ; CI ne réutilise pas les anciens rapports.</x:v>
      </x:c>
      <x:c r="E13" s="225" t="str">
        <x:v>V33 : tests ciblés en Chromium/SwiftShader, document injecté et Web Audio réel. Lire qa/v33/feedback/results.json pour le mode ; aucune qualification matérielle.</x:v>
      </x:c>
    </x:row>
  </x:sheetData>
  <x:mergeCells>
    <x:mergeCell ref="A1:E2"/>
  </x:mergeCells>
  <x:pageMargins left="0.7" right="0.7" top="0.75" bottom="0.75" header="0.3" footer="0.3"/>
  <x:tableParts count="1">
    <x:tablePart xmlns:r="http://schemas.openxmlformats.org/officeDocument/2006/relationships" r:id="R1e5d33fd4c2d49fc"/>
  </x:tableParts>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4" hidden="0" customWidth="1"/>
    <x:col min="3" max="3" width="26" hidden="0" customWidth="1"/>
    <x:col min="4" max="4" width="40" hidden="0" customWidth="1"/>
    <x:col min="5" max="5" width="40" hidden="0" customWidth="1"/>
    <x:col min="6" max="6" width="38" hidden="0" customWidth="1"/>
  </x:cols>
  <x:sheetData>
    <x:row r="1" ht="27" customHeight="1">
      <x:c r="A1" s="219" t="str">
        <x:v>DIVA PULSE / Tests V33</x:v>
      </x:c>
      <x:c r="B1" s="219"/>
      <x:c r="C1" s="219"/>
      <x:c r="D1" s="219"/>
      <x:c r="E1" s="219"/>
      <x:c r="F1" s="219"/>
    </x:row>
    <x:row r="2" ht="27" customHeight="1">
      <x:c r="A2" s="219"/>
      <x:c r="B2" s="219"/>
      <x:c r="C2" s="219"/>
      <x:c r="D2" s="219"/>
      <x:c r="E2" s="219"/>
      <x:c r="F2" s="219"/>
    </x:row>
    <x:row r="4" ht="28" customHeight="1">
      <x:c r="A4" s="222" t="str">
        <x:v>Suite</x:v>
      </x:c>
      <x:c r="B4" s="222" t="str">
        <x:v>Résultat / état</x:v>
      </x:c>
      <x:c r="C4" s="222" t="str">
        <x:v>Exécution</x:v>
      </x:c>
      <x:c r="D4" s="222" t="str">
        <x:v>Preuve / source</x:v>
      </x:c>
      <x:c r="E4" s="222" t="str">
        <x:v>Périmètre</x:v>
      </x:c>
      <x:c r="F4" s="222" t="str">
        <x:v>Limites</x:v>
      </x:c>
    </x:row>
    <x:row r="5" ht="95" customHeight="1">
      <x:c r="A5" s="225" t="str">
        <x:v>Logique ciblée</x:v>
      </x:c>
      <x:c r="B5" s="225" t="str">
        <x:v>48 / 48</x:v>
      </x:c>
      <x:c r="C5" s="225" t="str">
        <x:v>Exécutée localement</x:v>
      </x:c>
      <x:c r="D5" s="225" t="str">
        <x:v>tests/v33.test.cjs</x:v>
      </x:c>
      <x:c r="E5" s="225" t="str">
        <x:v>PCM, files bornées, sources audio, entrées invalides.</x:v>
      </x:c>
      <x:c r="F5" s="225" t="str">
        <x:v>Pas une validation acoustique.</x:v>
      </x:c>
    </x:row>
    <x:row r="6" ht="95" customHeight="1">
      <x:c r="A6" s="225" t="str">
        <x:v>Navigateur V33</x:v>
      </x:c>
      <x:c r="B6" s="225" t="str">
        <x:v>22 / 22</x:v>
      </x:c>
      <x:c r="C6" s="225" t="str">
        <x:v>Exécutée localement</x:v>
      </x:c>
      <x:c r="D6" s="225" t="str">
        <x:v>tests/v33_browser_test.py ; qa/v33/feedback/results.json</x:v>
      </x:c>
      <x:c r="E6" s="225" t="str">
        <x:v>Document injecté, stockage temporaire ; Web Audio et OfflineAudioContext réels.</x:v>
      </x:c>
      <x:c r="F6" s="225" t="str">
        <x:v>Pas de persistance HTTP dans ce contexte.</x:v>
      </x:c>
    </x:row>
    <x:row r="7" ht="95" customHeight="1">
      <x:c r="A7" s="225" t="str">
        <x:v>Régression complète</x:v>
      </x:c>
      <x:c r="B7" s="225" t="str">
        <x:v>À lire dans la preuve CI</x:v>
      </x:c>
      <x:c r="C7" s="225" t="str">
        <x:v>Séparée du résultat local</x:v>
      </x:c>
      <x:c r="D7" s="225" t="str">
        <x:v>qa/v33/logic.tap ; qa/v33/verified.json</x:v>
      </x:c>
      <x:c r="E7" s="225" t="str">
        <x:v>CI sur les sources actuelles et les tests antérieurs.</x:v>
      </x:c>
      <x:c r="F7" s="225" t="str">
        <x:v>Ne pas additionner des résultats anciens.</x:v>
      </x:c>
    </x:row>
    <x:row r="8" ht="95" customHeight="1">
      <x:c r="A8" s="225" t="str">
        <x:v>Persistance native</x:v>
      </x:c>
      <x:c r="B8" s="225" t="str">
        <x:v>À lire dans la preuve CI</x:v>
      </x:c>
      <x:c r="C8" s="225" t="str">
        <x:v>Revalidation requise</x:v>
      </x:c>
      <x:c r="D8" s="225" t="str">
        <x:v>qa/v33/regression-persistence/results.json</x:v>
      </x:c>
      <x:c r="E8" s="225" t="str">
        <x:v>IndexedDB, fermeture/réouverture, verrou de fenêtres.</x:v>
      </x:c>
      <x:c r="F8" s="225" t="str">
        <x:v>Le succès V32 ne vaut pas validation V33.</x:v>
      </x:c>
    </x:row>
    <x:row r="9" ht="95" customHeight="1">
      <x:c r="A9" s="225" t="str">
        <x:v>Transactions natives</x:v>
      </x:c>
      <x:c r="B9" s="225" t="str">
        <x:v>À lire dans la preuve CI</x:v>
      </x:c>
      <x:c r="C9" s="225" t="str">
        <x:v>Revalidation requise</x:v>
      </x:c>
      <x:c r="D9" s="225" t="str">
        <x:v>qa/v33/transactions/results.json</x:v>
      </x:c>
      <x:c r="E9" s="225" t="str">
        <x:v>Annulation de transaction et réessai Studio.</x:v>
      </x:c>
      <x:c r="F9" s="225" t="str">
        <x:v>Pas une simulation de panne matérielle.</x:v>
      </x:c>
    </x:row>
    <x:row r="10" ht="95" customHeight="1">
      <x:c r="A10" s="225" t="str">
        <x:v>Appareils physiques</x:v>
      </x:c>
      <x:c r="B10" s="225" t="str">
        <x:v>Non exécutés</x:v>
      </x:c>
      <x:c r="C10" s="225" t="str">
        <x:v>À valider</x:v>
      </x:c>
      <x:c r="D10" s="225" t="str">
        <x:v>QA-02 ; QA-03 ; GAME-07</x:v>
      </x:c>
      <x:c r="E10" s="225" t="str">
        <x:v>iPhone, Safari, Firefox, manettes et sortie audio réelle.</x:v>
      </x:c>
      <x:c r="F10" s="225" t="str">
        <x:v>Aucune compatibilité universelle annoncée.</x:v>
      </x:c>
    </x:row>
    <x:row r="11" ht="95" customHeight="1">
      <x:c r="A11" s="225" t="str">
        <x:v>Sources techniques</x:v>
      </x:c>
      <x:c r="B11" s="225" t="str">
        <x:v>Documentation primaire</x:v>
      </x:c>
      <x:c r="C11" s="225" t="str">
        <x:v>Référence</x:v>
      </x:c>
      <x:c r="D11" s="225" t="str">
        <x:v>https://www.w3.org/TR/webaudio/ ; https://www.w3.org/TR/mediaqueries-5/#prefers-reduced-motion</x:v>
      </x:c>
      <x:c r="E11" s="225" t="str">
        <x:v>Web Audio et préférence de réduction des mouvements.</x:v>
      </x:c>
      <x:c r="F11" s="225" t="str">
        <x:v>Les recommandations artistiques sont des choix propres au projet.</x:v>
      </x:c>
    </x:row>
  </x:sheetData>
  <x:mergeCells>
    <x:mergeCell ref="A1:F2"/>
  </x:mergeCells>
  <x:pageMargins left="0.7" right="0.7" top="0.75" bottom="0.75" header="0.3" footer="0.3"/>
  <x:tableParts count="1">
    <x:tablePart xmlns:r="http://schemas.openxmlformats.org/officeDocument/2006/relationships" r:id="R8ca5ffdad18346a5"/>
  </x:tableParts>
</x:worksheet>
</file>

<file path=xl/worksheets/sheet1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30" hidden="0" customWidth="1"/>
    <x:col min="3" max="3" width="50" hidden="0" customWidth="1"/>
    <x:col min="4" max="4" width="50" hidden="0" customWidth="1"/>
    <x:col min="5" max="5" width="44" hidden="0" customWidth="1"/>
  </x:cols>
  <x:sheetData>
    <x:row r="1" ht="24" customHeight="1">
      <x:c r="A1" s="253" t="str">
        <x:v>V34 / BIBLIOTHÈQUE &amp; LIVE</x:v>
      </x:c>
      <x:c r="B1" s="253"/>
      <x:c r="C1" s="253"/>
      <x:c r="D1" s="253"/>
      <x:c r="E1" s="253"/>
    </x:row>
    <x:row r="2" ht="24" customHeight="1">
      <x:c r="A2" s="253"/>
      <x:c r="B2" s="253"/>
      <x:c r="C2" s="253"/>
      <x:c r="D2" s="253"/>
      <x:c r="E2" s="253"/>
    </x:row>
    <x:row r="3" ht="24" customHeight="1">
      <x:c r="A3" s="254" t="str">
        <x:v>Fonctionnalités livrées dans leur périmètre, sans certification de finition globale.</x:v>
      </x:c>
      <x:c r="B3" s="254"/>
      <x:c r="C3" s="254"/>
      <x:c r="D3" s="254"/>
      <x:c r="E3" s="254"/>
    </x:row>
    <x:row r="4" ht="24" customHeight="1">
      <x:c r="A4" s="254"/>
      <x:c r="B4" s="254"/>
      <x:c r="C4" s="254"/>
      <x:c r="D4" s="254"/>
      <x:c r="E4" s="254"/>
    </x:row>
    <x:row r="5" ht="25" customHeight="1">
      <x:c r="A5" s="257" t="str">
        <x:v>ID</x:v>
      </x:c>
      <x:c r="B5" s="257" t="str">
        <x:v>Livraison</x:v>
      </x:c>
      <x:c r="C5" s="257" t="str">
        <x:v>Usage</x:v>
      </x:c>
      <x:c r="D5" s="257" t="str">
        <x:v>Validation</x:v>
      </x:c>
      <x:c r="E5" s="257" t="str">
        <x:v>Limite</x:v>
      </x:c>
    </x:row>
    <x:row r="6" ht="80" customHeight="1">
      <x:c r="A6" s="260" t="str">
        <x:v>SAV-07</x:v>
      </x:c>
      <x:c r="B6" s="260" t="str">
        <x:v>Gestion des médias orphelins</x:v>
      </x:c>
      <x:c r="C6" s="260" t="str">
        <x:v>V34 : inventaire et diagnostic JSON ; sélection explicite et confirmation ; protection de tous les textes référant un média dans les morceaux, réglages, scores et brouillons en mémoire. Relecture et suppression dans une seule transaction.</x:v>
      </x:c>
      <x:c r="D6" s="260" t="str">
        <x:v>Ne supprimer que les médias sans référence dans scène, partition, voix et récupération.</x:v>
      </x:c>
      <x:c r="E6" s="260" t="str">
        <x:v>Nettoyage local explicite seulement ; aucune donnée utilisateur réelle supprimée par les tests. Jusqu’à 5 000 médias, affichage par lots de 200.</x:v>
      </x:c>
    </x:row>
    <x:row r="7" ht="80" customHeight="1">
      <x:c r="A7" s="260" t="str">
        <x:v>LIVE34-01</x:v>
      </x:c>
      <x:c r="B7" s="260" t="str">
        <x:v>Interruption audio et retour explicite</x:v>
      </x:c>
      <x:c r="C7" s="260" t="str">
        <x:v>Mise en pause, entrées bloquées, absence de reprise automatique ; nouvelle vérification après préparation audio ; contexte fermé recréé au clic de reprise.</x:v>
      </x:c>
      <x:c r="D7" s="260" t="str">
        <x:v>Suspendre/reprendre/fermer le vrai AudioContext ; aucun score changé par un appui suspendu ; reprise explicite et Director masqué puis visible.</x:v>
      </x:c>
      <x:c r="E7" s="260" t="str">
        <x:v>Événements du navigateur contrôlés ; pas de certification interruption téléphonique sur iPhone.</x:v>
      </x:c>
    </x:row>
    <x:row r="8" ht="80" customHeight="1">
      <x:c r="A8" s="260" t="str">
        <x:v>LIVE34-02</x:v>
      </x:c>
      <x:c r="B8" s="260" t="str">
        <x:v>Jauges HOLD indépendantes des éclats</x:v>
      </x:c>
      <x:c r="C8" s="260" t="str">
        <x:v>Jauge par piste active, symbole et pourcentage, mises à jour plafonnées, préférence persistante et absence d’animation CSS.</x:v>
      </x:c>
      <x:c r="D8" s="260" t="str">
        <x:v>Deux maintiens visibles avec VFX à zéro ; relâcher une piste conserve l’autre ; score/replay inchangés ; viewport 390 px sans débordement.</x:v>
      </x:c>
      <x:c r="E8" s="260" t="str">
        <x:v>Ne remplace pas un audit lecteur d’écran ni une revue de toutes les scènes.</x:v>
      </x:c>
    </x:row>
    <x:row r="9" ht="80" customHeight="1">
      <x:c r="A9" s="260" t="str">
        <x:v>LIVE34-03</x:v>
      </x:c>
      <x:c r="B9" s="260" t="str">
        <x:v>Préparation des sons et renouvellement du contexte</x:v>
      </x:c>
      <x:c r="C9" s="260" t="str">
        <x:v>Préparation silencieuse de la signature sélectionnée ; réutilisation des buffers ; anciennes voix et cache libérés avant le contrôle de capacité.</x:v>
      </x:c>
      <x:c r="D9" s="260" t="str">
        <x:v>Première frappe sans nouvelle allocation de buffer après préparation ; zéro voix jouée au préchauffage ; limites 12 voix/96 buffers conservées.</x:v>
      </x:c>
      <x:c r="E9" s="260" t="str">
        <x:v>Ne mesure pas la latence acoustique ou le budget global de frame sur matériel réel.</x:v>
      </x:c>
    </x:row>
    <x:row r="10" ht="80" customHeight="1">
      <x:c r="A10" s="260" t="str">
        <x:v>QA34-01</x:v>
      </x:c>
      <x:c r="B10" s="260" t="str">
        <x:v>Nettoyage concurrent et annulation native</x:v>
      </x:c>
      <x:c r="C10" s="260" t="str">
        <x:v>Tests de référence ajoutée après analyse, analyse périmée, racine en mémoire, accès en lecture seule et véritable abort IndexedDB après requête de suppression.</x:v>
      </x:c>
      <x:c r="D10" s="260" t="str">
        <x:v>Aucun média référencé retiré ; après abort, octets intacts et aucun événement de succès ; nouvelle sélection explicite puis nettoyage réussi.</x:v>
      </x:c>
      <x:c r="E10" s="260" t="str">
        <x:v>Le contrôle natif est exigé par la CI avant publication ; un abort volontaire ne simule pas une panne disque.</x:v>
      </x:c>
    </x:row>
  </x:sheetData>
  <x:mergeCells>
    <x:mergeCell ref="A1:E2"/>
    <x:mergeCell ref="A3:E4"/>
  </x:mergeCells>
  <x:pageMargins left="0.7" right="0.7" top="0.75" bottom="0.75" header="0.3" footer="0.3"/>
  <x:tableParts count="1">
    <x:tablePart xmlns:r="http://schemas.openxmlformats.org/officeDocument/2006/relationships" r:id="Re3fab684eec54bda"/>
  </x:tableParts>
</x:worksheet>
</file>

<file path=xl/worksheets/sheet1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3" hidden="0" customWidth="1"/>
    <x:col min="3" max="3" width="25" hidden="0" customWidth="1"/>
    <x:col min="4" max="4" width="43" hidden="0" customWidth="1"/>
    <x:col min="5" max="5" width="43" hidden="0" customWidth="1"/>
    <x:col min="6" max="6" width="49" hidden="0" customWidth="1"/>
  </x:cols>
  <x:sheetData>
    <x:row r="1" ht="24" customHeight="1">
      <x:c r="A1" s="253" t="str">
        <x:v>V34 / PREUVES &amp; PÉRIMÈTRES</x:v>
      </x:c>
      <x:c r="B1" s="253"/>
      <x:c r="C1" s="253"/>
      <x:c r="D1" s="253"/>
      <x:c r="E1" s="253"/>
      <x:c r="F1" s="253"/>
    </x:row>
    <x:row r="2" ht="24" customHeight="1">
      <x:c r="A2" s="253"/>
      <x:c r="B2" s="253"/>
      <x:c r="C2" s="253"/>
      <x:c r="D2" s="253"/>
      <x:c r="E2" s="253"/>
      <x:c r="F2" s="253"/>
    </x:row>
    <x:row r="3" ht="24" customHeight="1">
      <x:c r="A3" s="254" t="str">
        <x:v>Ces compteurs doivent correspondre à une exécution terminée et au SHA-256 du HTML courant.</x:v>
      </x:c>
      <x:c r="B3" s="254"/>
      <x:c r="C3" s="254"/>
      <x:c r="D3" s="254"/>
      <x:c r="E3" s="254"/>
      <x:c r="F3" s="254"/>
    </x:row>
    <x:row r="4" ht="24" customHeight="1">
      <x:c r="A4" s="254"/>
      <x:c r="B4" s="254"/>
      <x:c r="C4" s="254"/>
      <x:c r="D4" s="254"/>
      <x:c r="E4" s="254"/>
      <x:c r="F4" s="254"/>
    </x:row>
    <x:row r="5" ht="25" customHeight="1">
      <x:c r="A5" s="257" t="str">
        <x:v>Suite</x:v>
      </x:c>
      <x:c r="B5" s="257" t="str">
        <x:v>Contrôles</x:v>
      </x:c>
      <x:c r="C5" s="257" t="str">
        <x:v>Mode</x:v>
      </x:c>
      <x:c r="D5" s="257" t="str">
        <x:v>Script</x:v>
      </x:c>
      <x:c r="E5" s="257" t="str">
        <x:v>Preuve</x:v>
      </x:c>
      <x:c r="F5" s="257" t="str">
        <x:v>Portée / exclusions</x:v>
      </x:c>
    </x:row>
    <x:row r="6" ht="80" customHeight="1">
      <x:c r="A6" s="260" t="str">
        <x:v>Logique Node</x:v>
      </x:c>
      <x:c r="B6" s="260" t="n">
        <x:v>1042</x:v>
      </x:c>
      <x:c r="C6" s="260" t="str">
        <x:v>47 nouveaux</x:v>
      </x:c>
      <x:c r="D6" s="260" t="str">
        <x:v>tests/*.test.cjs</x:v>
      </x:c>
      <x:c r="E6" s="260" t="str">
        <x:v>qa/v34/logic.tap</x:v>
      </x:c>
      <x:c r="F6" s="260" t="str">
        <x:v>Aucun test ignoré.</x:v>
      </x:c>
    </x:row>
    <x:row r="7" ht="80" customHeight="1">
      <x:c r="A7" s="260" t="str">
        <x:v>Lanceur</x:v>
      </x:c>
      <x:c r="B7" s="260" t="n">
        <x:v>10</x:v>
      </x:c>
      <x:c r="C7" s="260" t="str">
        <x:v>Régression</x:v>
      </x:c>
      <x:c r="D7" s="260" t="str">
        <x:v>tests/launcher_test.py</x:v>
      </x:c>
      <x:c r="E7" s="260" t="str">
        <x:v>qa/v34/launcher.txt</x:v>
      </x:c>
      <x:c r="F7" s="260" t="str">
        <x:v>Contrats logiciels de lancement.</x:v>
      </x:c>
    </x:row>
    <x:row r="8" ht="80" customHeight="1">
      <x:c r="A8" s="260" t="str">
        <x:v>Bibliothèque et live</x:v>
      </x:c>
      <x:c r="B8" s="260" t="n">
        <x:v>28</x:v>
      </x:c>
      <x:c r="C8" s="260" t="str">
        <x:v>HTTP natif exigé</x:v>
      </x:c>
      <x:c r="D8" s="260" t="str">
        <x:v>tests/v34_browser_test.py</x:v>
      </x:c>
      <x:c r="E8" s="260" t="str">
        <x:v>qa/v34/vault-live/results.json</x:v>
      </x:c>
      <x:c r="F8" s="260" t="str">
        <x:v>Le mode local injecté exécute 27 contrôles et exclut l’abort natif.</x:v>
      </x:c>
    </x:row>
    <x:row r="9" ht="80" customHeight="1">
      <x:c r="A9" s="260" t="str">
        <x:v>Feedback V33</x:v>
      </x:c>
      <x:c r="B9" s="260" t="n">
        <x:v>22</x:v>
      </x:c>
      <x:c r="C9" s="260" t="str">
        <x:v>Régression</x:v>
      </x:c>
      <x:c r="D9" s="260" t="str">
        <x:v>tests/v33_browser_test.py</x:v>
      </x:c>
      <x:c r="E9" s="260" t="str">
        <x:v>qa/v34/feedback/results.json</x:v>
      </x:c>
      <x:c r="F9" s="260" t="str">
        <x:v>Web Audio réel ; rendu logiciel.</x:v>
      </x:c>
    </x:row>
    <x:row r="10" ht="80" customHeight="1">
      <x:c r="A10" s="260" t="str">
        <x:v>Boucles</x:v>
      </x:c>
      <x:c r="B10" s="260" t="n">
        <x:v>16</x:v>
      </x:c>
      <x:c r="C10" s="260" t="str">
        <x:v>Régression</x:v>
      </x:c>
      <x:c r="D10" s="260" t="str">
        <x:v>tests/v32_browser_test.py</x:v>
      </x:c>
      <x:c r="E10" s="260" t="str">
        <x:v>qa/v34/loops/results.json</x:v>
      </x:c>
      <x:c r="F10" s="260" t="str">
        <x:v>HTTP natif.</x:v>
      </x:c>
    </x:row>
    <x:row r="11" ht="80" customHeight="1">
      <x:c r="A11" s="260" t="str">
        <x:v>Audition</x:v>
      </x:c>
      <x:c r="B11" s="260" t="n">
        <x:v>32</x:v>
      </x:c>
      <x:c r="C11" s="260" t="str">
        <x:v>Régression</x:v>
      </x:c>
      <x:c r="D11" s="260" t="str">
        <x:v>tests/v31_browser_test.py</x:v>
      </x:c>
      <x:c r="E11" s="260" t="str">
        <x:v>qa/v34/audition/results.json</x:v>
      </x:c>
      <x:c r="F11" s="260" t="str">
        <x:v>HTTP natif.</x:v>
      </x:c>
    </x:row>
    <x:row r="12" ht="80" customHeight="1">
      <x:c r="A12" s="260" t="str">
        <x:v>Workflow</x:v>
      </x:c>
      <x:c r="B12" s="260" t="n">
        <x:v>18</x:v>
      </x:c>
      <x:c r="C12" s="260" t="str">
        <x:v>Régression</x:v>
      </x:c>
      <x:c r="D12" s="260" t="str">
        <x:v>tests/v30_browser_test.py</x:v>
      </x:c>
      <x:c r="E12" s="260" t="str">
        <x:v>qa/v34/regression-workflow/results.json</x:v>
      </x:c>
      <x:c r="F12" s="260" t="str">
        <x:v>HTTP natif.</x:v>
      </x:c>
    </x:row>
    <x:row r="13" ht="80" customHeight="1">
      <x:c r="A13" s="260" t="str">
        <x:v>Director</x:v>
      </x:c>
      <x:c r="B13" s="260" t="n">
        <x:v>23</x:v>
      </x:c>
      <x:c r="C13" s="260" t="str">
        <x:v>Document injecté</x:v>
      </x:c>
      <x:c r="D13" s="260" t="str">
        <x:v>tests/v29_browser_test.py</x:v>
      </x:c>
      <x:c r="E13" s="260" t="str">
        <x:v>qa/v34/regression-director/results.json</x:v>
      </x:c>
      <x:c r="F13" s="260" t="str">
        <x:v>Stockage temporaire, pas de preuve de persistance.</x:v>
      </x:c>
    </x:row>
    <x:row r="14" ht="80" customHeight="1">
      <x:c r="A14" s="260" t="str">
        <x:v>Persistance</x:v>
      </x:c>
      <x:c r="B14" s="260" t="n">
        <x:v>14</x:v>
      </x:c>
      <x:c r="C14" s="260" t="str">
        <x:v>HTTP natif</x:v>
      </x:c>
      <x:c r="D14" s="260" t="str">
        <x:v>tests/v29_persistence_test.py</x:v>
      </x:c>
      <x:c r="E14" s="260" t="str">
        <x:v>qa/v34/regression-persistence/results.json</x:v>
      </x:c>
      <x:c r="F14" s="260" t="str">
        <x:v>Fermeture/réouverture, verrou et hors ligne.</x:v>
      </x:c>
    </x:row>
    <x:row r="15" ht="80" customHeight="1">
      <x:c r="A15" s="260" t="str">
        <x:v>Transactions</x:v>
      </x:c>
      <x:c r="B15" s="260" t="n">
        <x:v>11</x:v>
      </x:c>
      <x:c r="C15" s="260" t="str">
        <x:v>HTTP natif</x:v>
      </x:c>
      <x:c r="D15" s="260" t="str">
        <x:v>tests/v32_transactions_test.py</x:v>
      </x:c>
      <x:c r="E15" s="260" t="str">
        <x:v>qa/v34/transactions/results.json</x:v>
      </x:c>
      <x:c r="F15" s="260" t="str">
        <x:v>Abort contrôlé ; pas une panne du système.</x:v>
      </x:c>
    </x:row>
  </x:sheetData>
  <x:mergeCells>
    <x:mergeCell ref="A1:F2"/>
    <x:mergeCell ref="A3:F4"/>
  </x:mergeCells>
  <x:pageMargins left="0.7" right="0.7" top="0.75" bottom="0.75" header="0.3" footer="0.3"/>
  <x:tableParts count="1">
    <x:tablePart xmlns:r="http://schemas.openxmlformats.org/officeDocument/2006/relationships" r:id="R3bd3adabc4e943d4"/>
  </x:tableParts>
</x:worksheet>
</file>